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otti" sheetId="1" state="visible" r:id="rId3"/>
    <sheet name="Foglio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<sst xmlns="http://schemas.openxmlformats.org/spreadsheetml/2006/main" count="596" uniqueCount="346">
  <si>
    <t xml:space="preserve">ean13</t>
  </si>
  <si>
    <t xml:space="preserve">quantity</t>
  </si>
  <si>
    <t xml:space="preserve">minimal_quantity</t>
  </si>
  <si>
    <t xml:space="preserve">low_stock_threshold</t>
  </si>
  <si>
    <t xml:space="preserve">low_stock_alert</t>
  </si>
  <si>
    <t xml:space="preserve">price</t>
  </si>
  <si>
    <t xml:space="preserve">wholesale_price</t>
  </si>
  <si>
    <t xml:space="preserve">unity</t>
  </si>
  <si>
    <t xml:space="preserve">reference</t>
  </si>
  <si>
    <t xml:space="preserve">location</t>
  </si>
  <si>
    <t xml:space="preserve">width</t>
  </si>
  <si>
    <t xml:space="preserve">height</t>
  </si>
  <si>
    <t xml:space="preserve">depth</t>
  </si>
  <si>
    <t xml:space="preserve">weight</t>
  </si>
  <si>
    <t xml:space="preserve">out_of_stock</t>
  </si>
  <si>
    <t xml:space="preserve">active</t>
  </si>
  <si>
    <t xml:space="preserve">redirect_type</t>
  </si>
  <si>
    <t xml:space="preserve">id_type_redirected</t>
  </si>
  <si>
    <t xml:space="preserve">available_for_order</t>
  </si>
  <si>
    <t xml:space="preserve">condition</t>
  </si>
  <si>
    <t xml:space="preserve">show_price</t>
  </si>
  <si>
    <t xml:space="preserve">visibility</t>
  </si>
  <si>
    <t xml:space="preserve">advanced_stock_management</t>
  </si>
  <si>
    <t xml:space="preserve">pack_stock_type</t>
  </si>
  <si>
    <t xml:space="preserve">description</t>
  </si>
  <si>
    <t xml:space="preserve">description_short</t>
  </si>
  <si>
    <t xml:space="preserve">meta_description</t>
  </si>
  <si>
    <t xml:space="preserve">meta_keywords</t>
  </si>
  <si>
    <t xml:space="preserve">meta_title</t>
  </si>
  <si>
    <t xml:space="preserve">name</t>
  </si>
  <si>
    <t xml:space="preserve">product_type</t>
  </si>
  <si>
    <t xml:space="preserve">available_now</t>
  </si>
  <si>
    <t xml:space="preserve">available_later</t>
  </si>
  <si>
    <t xml:space="preserve">delivery_in_stock</t>
  </si>
  <si>
    <t xml:space="preserve">delivery_out_stock</t>
  </si>
  <si>
    <t xml:space="preserve">IMAGE</t>
  </si>
  <si>
    <t xml:space="preserve">VESTIBILITÀ</t>
  </si>
  <si>
    <t xml:space="preserve">CATEGORIES</t>
  </si>
  <si>
    <t xml:space="preserve">F:MODELLO MANICA</t>
  </si>
  <si>
    <t xml:space="preserve">F:FANTASIA TESSUTO</t>
  </si>
  <si>
    <t xml:space="preserve">A:TAGLIA</t>
  </si>
  <si>
    <t xml:space="preserve">A:COLORE</t>
  </si>
  <si>
    <t xml:space="preserve">67</t>
  </si>
  <si>
    <t xml:space="preserve">pz</t>
  </si>
  <si>
    <t xml:space="preserve">PRD-2025-0001-XYZ-789</t>
  </si>
  <si>
    <t xml:space="preserve">3.95</t>
  </si>
  <si>
    <t xml:space="preserve">82.55</t>
  </si>
  <si>
    <t xml:space="preserve">11.4</t>
  </si>
  <si>
    <t xml:space="preserve">55.65</t>
  </si>
  <si>
    <t xml:space="preserve">1</t>
  </si>
  <si>
    <t xml:space="preserve">new</t>
  </si>
  <si>
    <t xml:space="preserve">both</t>
  </si>
  <si>
    <t xml:space="preserve">0</t>
  </si>
  <si>
    <t xml:space="preserve">Prodotto versatile e affidabile per uso professionale. Realizzato con materiali di alta qualità, garantisce prestazioni ottimali e lunga durata. Ideale per applicazioni industriali e domestiche.</t>
  </si>
  <si>
    <t xml:space="preserve">1. Prodotto Generico XYZ 2025 - Modello 789</t>
  </si>
  <si>
    <t xml:space="preserve">combinations</t>
  </si>
  <si>
    <t xml:space="preserve"> https://picsum.photos/600/600?random=1| https://picsum.photos/600/600?random=1| https://picsum.photos/600/600?random=1</t>
  </si>
  <si>
    <t xml:space="preserve">Taglia regolabile</t>
  </si>
  <si>
    <t xml:space="preserve">Pantaloni|Giacche|Ristorazione</t>
  </si>
  <si>
    <t xml:space="preserve">LUNGA</t>
  </si>
  <si>
    <t xml:space="preserve">PIZZO</t>
  </si>
  <si>
    <t xml:space="preserve">XXL</t>
  </si>
  <si>
    <t xml:space="preserve">BIANCO</t>
  </si>
  <si>
    <t xml:space="preserve">69</t>
  </si>
  <si>
    <t xml:space="preserve">ART-BLACK-FRIDAY-24</t>
  </si>
  <si>
    <t xml:space="preserve">93.42</t>
  </si>
  <si>
    <t xml:space="preserve">38.52</t>
  </si>
  <si>
    <t xml:space="preserve">44.16</t>
  </si>
  <si>
    <t xml:space="preserve">27.17</t>
  </si>
  <si>
    <t xml:space="preserve">Edizione limitata in offerta speciale. Design accattivante e funzionalità essenziali per sfruttare al meglio le tue occasioni d'acquisto. Non perdere questa opportunità!</t>
  </si>
  <si>
    <t xml:space="preserve">2. Articolo Promozionale Black Friday 2024</t>
  </si>
  <si>
    <t xml:space="preserve"> https://picsum.photos/600/600?random=1 </t>
  </si>
  <si>
    <t xml:space="preserve">Scarpe|Lavoro</t>
  </si>
  <si>
    <t xml:space="preserve">CORTA</t>
  </si>
  <si>
    <t xml:space="preserve">L</t>
  </si>
  <si>
    <t xml:space="preserve">22</t>
  </si>
  <si>
    <t xml:space="preserve">WIDGET-PRO-MAX-2000</t>
  </si>
  <si>
    <t xml:space="preserve">53.75</t>
  </si>
  <si>
    <t xml:space="preserve">8.31</t>
  </si>
  <si>
    <t xml:space="preserve">52.25</t>
  </si>
  <si>
    <t xml:space="preserve">7.52</t>
  </si>
  <si>
    <t xml:space="preserve">Strumento professionale di ultima generazione con funzionalità avanzate. Display intuitivo, materiali resistenti e prestazioni superiori per risultati impeccabili in ogni situazione.</t>
  </si>
  <si>
    <t xml:space="preserve">3. Widget Professionale Max 2000</t>
  </si>
  <si>
    <t xml:space="preserve">16|38|171</t>
  </si>
  <si>
    <t xml:space="preserve">S</t>
  </si>
  <si>
    <t xml:space="preserve">ROSSO</t>
  </si>
  <si>
    <t xml:space="preserve">86</t>
  </si>
  <si>
    <t xml:space="preserve">ACC-98765-USB-C-BLK</t>
  </si>
  <si>
    <t xml:space="preserve">53.14</t>
  </si>
  <si>
    <t xml:space="preserve">26.69</t>
  </si>
  <si>
    <t xml:space="preserve">54.74</t>
  </si>
  <si>
    <t xml:space="preserve">84.71</t>
  </si>
  <si>
    <t xml:space="preserve">Cavo USB-C ad alta velocità con supporto ricarica rapida e trasferimento dati fino a 480Mbps. Lunghezza 2 metri, compatibile con tutti i dispositivi USB-C. Rivestimento intrecciato anti-rottura.</t>
  </si>
  <si>
    <t xml:space="preserve">4. Cavo USB-C universale nero 2m</t>
  </si>
  <si>
    <t xml:space="preserve"> https://picsum.photos/600/600?random=1| https://picsum.photos/600/600?random=1 </t>
  </si>
  <si>
    <t xml:space="preserve">Slim</t>
  </si>
  <si>
    <t xml:space="preserve">Pizzeria&gt;Giacche</t>
  </si>
  <si>
    <t xml:space="preserve">ASTRATTA</t>
  </si>
  <si>
    <t xml:space="preserve">XL</t>
  </si>
  <si>
    <t xml:space="preserve">75</t>
  </si>
  <si>
    <t xml:space="preserve">CABLE-TYPE-C-2M-RED</t>
  </si>
  <si>
    <t xml:space="preserve">99.33</t>
  </si>
  <si>
    <t xml:space="preserve">2.49</t>
  </si>
  <si>
    <t xml:space="preserve">3.86</t>
  </si>
  <si>
    <t xml:space="preserve">11.57</t>
  </si>
  <si>
    <t xml:space="preserve">Cavo resistente e flessibile con connettori placcati oro per miglior contatto. Supporta ricarica fino a 3A e sincronizzazione dati. Colore rosso brillante per distinguerlo facilmente.</t>
  </si>
  <si>
    <t xml:space="preserve">5. Cavo USB Type-C 2 metri - Rosso</t>
  </si>
  <si>
    <t xml:space="preserve">SENZA MANICA</t>
  </si>
  <si>
    <t xml:space="preserve">BATTERY-LI-ION-18650</t>
  </si>
  <si>
    <t xml:space="preserve">#B7#C5#D29A</t>
  </si>
  <si>
    <t xml:space="preserve">33.14</t>
  </si>
  <si>
    <t xml:space="preserve">61.29</t>
  </si>
  <si>
    <t xml:space="preserve">77.5</t>
  </si>
  <si>
    <t xml:space="preserve">85.29</t>
  </si>
  <si>
    <t xml:space="preserve">Batteria al litio ad alta capacità 3000mAh con protezione da sovrascarica e cortocircuito. Oltre 500 cicli di ricarica. Ideale per torce, power bank e dispositivi elettronici.</t>
  </si>
  <si>
    <t xml:space="preserve">6. Batteria Ricaricabile Li-Ion 18650 3000mAh</t>
  </si>
  <si>
    <t xml:space="preserve"> https://picsum.photos/600/600?random=1 | https://picsum.photos/600/600?random=1 </t>
  </si>
  <si>
    <t xml:space="preserve">Normal</t>
  </si>
  <si>
    <t xml:space="preserve">ROMBI</t>
  </si>
  <si>
    <t xml:space="preserve">M</t>
  </si>
  <si>
    <t xml:space="preserve">GIALLO</t>
  </si>
  <si>
    <t xml:space="preserve">65</t>
  </si>
  <si>
    <t xml:space="preserve">SCREEN-7INCH-IPS-HDMI</t>
  </si>
  <si>
    <t xml:space="preserve">34.37</t>
  </si>
  <si>
    <t xml:space="preserve">80.47</t>
  </si>
  <si>
    <t xml:space="preserve">52.16</t>
  </si>
  <si>
    <t xml:space="preserve">26.19</t>
  </si>
  <si>
    <t xml:space="preserve">refurbished</t>
  </si>
  <si>
    <t xml:space="preserve">Monitor LCD 7" con tecnologia IPS per angoli di visione fino a 178°. Risoluzione 1024x600, ingresso HDMI e alimentazione USB. Perfetto per Raspberry Pi, PC e sistemi embedded.</t>
  </si>
  <si>
    <t xml:space="preserve">7. Display LCD 7 pollici IPS HDMI</t>
  </si>
  <si>
    <t xml:space="preserve">24</t>
  </si>
  <si>
    <t xml:space="preserve">MOTOR-12V-DC-3000RPM</t>
  </si>
  <si>
    <t xml:space="preserve">30.28</t>
  </si>
  <si>
    <t xml:space="preserve">71.2</t>
  </si>
  <si>
    <t xml:space="preserve">68.94</t>
  </si>
  <si>
    <t xml:space="preserve">59.27</t>
  </si>
  <si>
    <t xml:space="preserve">Motore elettrico DC 12V con velocità di 3000 RPM e encoder integrato per controllo preciso di posizione e velocità. Ideale per robotica, CNC e automazione industriale.</t>
  </si>
  <si>
    <t xml:space="preserve">8. Motore DC 12V 3000 RPM con encoder</t>
  </si>
  <si>
    <t xml:space="preserve">44</t>
  </si>
  <si>
    <t xml:space="preserve">SENSOR-TEMP-HUM-DHT22</t>
  </si>
  <si>
    <t xml:space="preserve">24.36</t>
  </si>
  <si>
    <t xml:space="preserve">2.28</t>
  </si>
  <si>
    <t xml:space="preserve">41.93</t>
  </si>
  <si>
    <t xml:space="preserve">99.43</t>
  </si>
  <si>
    <t xml:space="preserve">Sensore digitale di temperatura e umidità con precisione ±0.5°C e ±2% RH. Interfaccia a singolo filo, campo di misura -40°C a 80°C. Perfetto per stazioni meteo e domotica.</t>
  </si>
  <si>
    <t xml:space="preserve">9. Sensore Temperatura e Umidità DHT22</t>
  </si>
  <si>
    <t xml:space="preserve">92</t>
  </si>
  <si>
    <t xml:space="preserve">ADAPTER-USB-C-HDMI-4K</t>
  </si>
  <si>
    <t xml:space="preserve">21.41</t>
  </si>
  <si>
    <t xml:space="preserve">33.28</t>
  </si>
  <si>
    <t xml:space="preserve">32.6</t>
  </si>
  <si>
    <t xml:space="preserve">72.64</t>
  </si>
  <si>
    <t xml:space="preserve">Adattatore compatto che converte USB-C in HDMI con supporto risoluzione 4K a 30Hz. Plug &amp; play, compatibile con laptop, smartphone e tablet con porta USB-C. Ideale per presentazioni e streaming.</t>
  </si>
  <si>
    <t xml:space="preserve">10. Adattatore USB-C to HDMI 4K Ultra HD</t>
  </si>
  <si>
    <t xml:space="preserve">94</t>
  </si>
  <si>
    <t xml:space="preserve">MODULE-WIFI-ESP32-S3</t>
  </si>
  <si>
    <t xml:space="preserve">3.4</t>
  </si>
  <si>
    <t xml:space="preserve">37.35</t>
  </si>
  <si>
    <t xml:space="preserve">39.45</t>
  </si>
  <si>
    <t xml:space="preserve">2.46</t>
  </si>
  <si>
    <t xml:space="preserve">Modulo di sviluppo con chip ESP32-S3 dual-core, WiFi 2.4GHz e Bluetooth 5.0. 16MB di flash, supporto AI e machine learning. Perfetto per progetti IoT avanzati e dispositivi smart.</t>
  </si>
  <si>
    <t xml:space="preserve">11. Modulo WiFi Bluetooth ESP32-S3</t>
  </si>
  <si>
    <t xml:space="preserve">63</t>
  </si>
  <si>
    <t xml:space="preserve">TOOL-SCREWDRIVER-PH2</t>
  </si>
  <si>
    <t xml:space="preserve">27.52</t>
  </si>
  <si>
    <t xml:space="preserve">69.57</t>
  </si>
  <si>
    <t xml:space="preserve">96.96</t>
  </si>
  <si>
    <t xml:space="preserve">51.26</t>
  </si>
  <si>
    <t xml:space="preserve">Cacciavite di precisione con punta Phillips PH2 in acciaio cromato-vanadio. Impugnatura ergonomica antiscivolo per massimo controllo. Ideale per elettronica, occhiali e piccole riparazioni.</t>
  </si>
  <si>
    <t xml:space="preserve">12. Cacciavite di precisione Phillips PH2</t>
  </si>
  <si>
    <t xml:space="preserve">73</t>
  </si>
  <si>
    <t xml:space="preserve">KIT-ARDUINO-UNO-R3</t>
  </si>
  <si>
    <t xml:space="preserve">82.74</t>
  </si>
  <si>
    <t xml:space="preserve">59.45</t>
  </si>
  <si>
    <t xml:space="preserve">91.95</t>
  </si>
  <si>
    <t xml:space="preserve">64.69</t>
  </si>
  <si>
    <t xml:space="preserve">Kit completo per iniziare con Arduino UNO R3 originale. Include scheda, breadboard, sensori, LED, resistenze, cavi e manuale con 15 progetti guidati. Perfetto per maker e principianti.</t>
  </si>
  <si>
    <t xml:space="preserve">13. Kit Starter Arduino UNO R3 completo</t>
  </si>
  <si>
    <t xml:space="preserve">ROBOT-ARM-6DOF-METAL</t>
  </si>
  <si>
    <t xml:space="preserve">33.62</t>
  </si>
  <si>
    <t xml:space="preserve">1.31</t>
  </si>
  <si>
    <t xml:space="preserve">8.8</t>
  </si>
  <si>
    <t xml:space="preserve">60.33</t>
  </si>
  <si>
    <t xml:space="preserve">used</t>
  </si>
  <si>
    <t xml:space="preserve">catalog</t>
  </si>
  <si>
    <t xml:space="preserve">Braccio robotico professionale con 6 gradi di libertà (DOF), interamente in metallo. Controllo preciso con servomotori digitali, apertura 320mm. Ideale per educazione robotica e automazione.</t>
  </si>
  <si>
    <t xml:space="preserve">14. Braccio Robotico 6 DOF in metallo</t>
  </si>
  <si>
    <t xml:space="preserve">76</t>
  </si>
  <si>
    <t xml:space="preserve">PSU-12V-10A-120W-MET</t>
  </si>
  <si>
    <t xml:space="preserve">3.8</t>
  </si>
  <si>
    <t xml:space="preserve">78.97</t>
  </si>
  <si>
    <t xml:space="preserve">95.47</t>
  </si>
  <si>
    <t xml:space="preserve">85.31</t>
  </si>
  <si>
    <t xml:space="preserve">Alimentatore switching professionale 12V 10A con potenza 120W. Ingresso universale 110-240V, protezioni da sovraccarico e cortocircuito. Ideale per strisce LED, telecamere e dispositivi industriali.</t>
  </si>
  <si>
    <t xml:space="preserve">15. Alimentatore switching 12V 10A 120W</t>
  </si>
  <si>
    <t xml:space="preserve">18</t>
  </si>
  <si>
    <t xml:space="preserve">FAN-120MM-PWM-RGB-BK</t>
  </si>
  <si>
    <t xml:space="preserve">#B7#C5#D29B</t>
  </si>
  <si>
    <t xml:space="preserve">6.34</t>
  </si>
  <si>
    <t xml:space="preserve">88.9</t>
  </si>
  <si>
    <t xml:space="preserve">50.85</t>
  </si>
  <si>
    <t xml:space="preserve">6.78</t>
  </si>
  <si>
    <t xml:space="preserve">Ventola per PC 120mm con controllo PWM per gestione intelligente della velocità. Illuminazione RGB personalizzabile, cuscinetti idraulici per silenziosità, flusso d'aria 45 CFM.</t>
  </si>
  <si>
    <t xml:space="preserve">16. Ventola PC 120mm PWM RGB Black</t>
  </si>
  <si>
    <t xml:space="preserve">41</t>
  </si>
  <si>
    <t xml:space="preserve">ENCLOSURE-ABS-BLK-3U</t>
  </si>
  <si>
    <t xml:space="preserve">9.7</t>
  </si>
  <si>
    <t xml:space="preserve">40.88</t>
  </si>
  <si>
    <t xml:space="preserve">46.19</t>
  </si>
  <si>
    <t xml:space="preserve">54.28</t>
  </si>
  <si>
    <t xml:space="preserve">Contenitore professionale in ABS nero per rack 3U. Dimensioni standard per apparecchiature audio/video e networking. Pannelli rimovibili, facile montaggio, include viti e piedini.</t>
  </si>
  <si>
    <t xml:space="preserve">17. Contenitore ABS nero 3U per rack</t>
  </si>
  <si>
    <t xml:space="preserve">99</t>
  </si>
  <si>
    <t xml:space="preserve">CABLE-RIBBON-40PIN-30</t>
  </si>
  <si>
    <t xml:space="preserve">88.33</t>
  </si>
  <si>
    <t xml:space="preserve">48.79</t>
  </si>
  <si>
    <t xml:space="preserve">93.92</t>
  </si>
  <si>
    <t xml:space="preserve">54.81</t>
  </si>
  <si>
    <t xml:space="preserve">Cavo piatto a nastro 40 pin con passo 2.54mm, lunghezza 30cm. Ideale per collegamenti IDE, progetti elettronici e connessioni tra schede di sviluppo. Connettori IDC inclusi.</t>
  </si>
  <si>
    <t xml:space="preserve">18. Cavo piatto 40 pin 30cm per IDE</t>
  </si>
  <si>
    <t xml:space="preserve">91</t>
  </si>
  <si>
    <t xml:space="preserve">CONNECTOR-JST-XH-4PIN</t>
  </si>
  <si>
    <t xml:space="preserve">69.42</t>
  </si>
  <si>
    <t xml:space="preserve">43.41</t>
  </si>
  <si>
    <t xml:space="preserve">97.41</t>
  </si>
  <si>
    <t xml:space="preserve">49.93</t>
  </si>
  <si>
    <t xml:space="preserve">Set di connettori JST XH a 4 pin con cavi 20cm. Include coppie maschio-femmina già cablate per collegamenti rapidi e sicuri. Ideale per batterie LiPo e modellismo.</t>
  </si>
  <si>
    <t xml:space="preserve">19. Connettore JST XH 4 pin maschio-femmina</t>
  </si>
  <si>
    <t xml:space="preserve">15</t>
  </si>
  <si>
    <t xml:space="preserve">SWITCH-MECH-BLUE-KEY</t>
  </si>
  <si>
    <t xml:space="preserve">53.17</t>
  </si>
  <si>
    <t xml:space="preserve">73.31</t>
  </si>
  <si>
    <t xml:space="preserve">7.81</t>
  </si>
  <si>
    <t xml:space="preserve">78.59</t>
  </si>
  <si>
    <t xml:space="preserve">none</t>
  </si>
  <si>
    <t xml:space="preserve">Tastiera meccanica con switch blu (clicky) per feedback tattile e sonoro. Retroilluminazione RGB, layout italiano, tasti multimediali e cavo USB-C rimovibile. Perfetta per chi scrive molto.</t>
  </si>
  <si>
    <t xml:space="preserve">20. Tastiera meccanica switch blu click</t>
  </si>
  <si>
    <t xml:space="preserve">46</t>
  </si>
  <si>
    <t xml:space="preserve">KEYCAP-PBT-DOUBLESHOT</t>
  </si>
  <si>
    <t xml:space="preserve">62.93</t>
  </si>
  <si>
    <t xml:space="preserve">68.46</t>
  </si>
  <si>
    <t xml:space="preserve">8.43</t>
  </si>
  <si>
    <t xml:space="preserve">24.12</t>
  </si>
  <si>
    <t xml:space="preserve">Set di keycaps in PBT doubleshot per tastiere meccaniche ANSI. Leggende indelebili, profilo OEM, colore grigio antracite con accenti blu. Include 104 tasti e tool di estrazione.</t>
  </si>
  <si>
    <t xml:space="preserve">21. Set keycaps PBT doubleshot ANSI</t>
  </si>
  <si>
    <t xml:space="preserve">98</t>
  </si>
  <si>
    <t xml:space="preserve">LENS-CCTV-12MM-IRIS</t>
  </si>
  <si>
    <t xml:space="preserve">81.97</t>
  </si>
  <si>
    <t xml:space="preserve">37.68</t>
  </si>
  <si>
    <t xml:space="preserve">79.69</t>
  </si>
  <si>
    <t xml:space="preserve">28.21</t>
  </si>
  <si>
    <t xml:space="preserve">Obiettivo per telecamere di sorveglianza con lunghezza focale 12mm, apertura F2.0. Messa a fuoco manuale, attacco CS-mount. Ideale per riprese a media distanza e controllo accessi.</t>
  </si>
  <si>
    <t xml:space="preserve">22. Obiettivo CCTV 12mm con messa a fuoco</t>
  </si>
  <si>
    <t xml:space="preserve">2</t>
  </si>
  <si>
    <t xml:space="preserve">LED-STRIP-WS2812B-5M</t>
  </si>
  <si>
    <t xml:space="preserve">33.32</t>
  </si>
  <si>
    <t xml:space="preserve">12.45</t>
  </si>
  <si>
    <t xml:space="preserve">2.74</t>
  </si>
  <si>
    <t xml:space="preserve">62.47</t>
  </si>
  <si>
    <t xml:space="preserve">Strip LED indirizzabili WS2812B lunghezza 5 metri con 300 LED RGB. Impermeabile IP30, ogni LED è programmabile individualmente. Perfetta per effetti luminosi e illuminazione decorativa.</t>
  </si>
  <si>
    <t xml:space="preserve">23. Strip LED indirizzabili WS2812B 5m 300 LED</t>
  </si>
  <si>
    <t xml:space="preserve">97</t>
  </si>
  <si>
    <t xml:space="preserve">HEATSINK-40x40x20-BLK</t>
  </si>
  <si>
    <t xml:space="preserve">93.76</t>
  </si>
  <si>
    <t xml:space="preserve">14.93</t>
  </si>
  <si>
    <t xml:space="preserve">59.92</t>
  </si>
  <si>
    <t xml:space="preserve">23.56</t>
  </si>
  <si>
    <t xml:space="preserve">Dissipatore di calore in alluminio anodizzato nero, dimensioni 40x40x20mm. Alette per massima superficie di scambio termico, include pasta termica e clip di montaggio.</t>
  </si>
  <si>
    <t xml:space="preserve">24. Dissipatore in alluminio 40x40x20mm nero</t>
  </si>
  <si>
    <t xml:space="preserve">32</t>
  </si>
  <si>
    <t xml:space="preserve">BRACKET-L-MOUNT-50x50</t>
  </si>
  <si>
    <t xml:space="preserve">#A1#C1#D03</t>
  </si>
  <si>
    <t xml:space="preserve">74.7</t>
  </si>
  <si>
    <t xml:space="preserve">62.95</t>
  </si>
  <si>
    <t xml:space="preserve">35.43</t>
  </si>
  <si>
    <t xml:space="preserve">82.1</t>
  </si>
  <si>
    <t xml:space="preserve">search</t>
  </si>
  <si>
    <t xml:space="preserve">Staffa di rinforzo angolare a L in acciaio zincato, dimensioni 50x50mm. Fori da 5mm per montaggio universale. Ideale per strutture, mobili e fai-da-te. Confezione da 4 pezzi.</t>
  </si>
  <si>
    <t xml:space="preserve">25. Staffa angolare a L 50x50mm acciaio</t>
  </si>
  <si>
    <t xml:space="preserve">30</t>
  </si>
  <si>
    <t xml:space="preserve">GEAR-PLA-20T-5MM-BORE</t>
  </si>
  <si>
    <t xml:space="preserve">79.75</t>
  </si>
  <si>
    <t xml:space="preserve">92.97</t>
  </si>
  <si>
    <t xml:space="preserve">42.44</t>
  </si>
  <si>
    <t xml:space="preserve">29.32</t>
  </si>
  <si>
    <t xml:space="preserve">Ingranaggio stampato in PLA di alta qualità con modulo 1, 20 denti e foro da 5mm. Alta precisione dimensionale, ideale per progetti di robotica educativa e sostituzioni.</t>
  </si>
  <si>
    <t xml:space="preserve">26. Ingranaggio PLA 20 denti foro 5mm</t>
  </si>
  <si>
    <t xml:space="preserve">27</t>
  </si>
  <si>
    <t xml:space="preserve">BELT-GT2-6MM-2M-CLOSED</t>
  </si>
  <si>
    <t xml:space="preserve">39.83</t>
  </si>
  <si>
    <t xml:space="preserve">61.47</t>
  </si>
  <si>
    <t xml:space="preserve">45.3</t>
  </si>
  <si>
    <t xml:space="preserve">87.55</t>
  </si>
  <si>
    <t xml:space="preserve">Cinghia dentata GT2 passo 2mm, larghezza 6mm, lunghezza 2 metri già chiusa. Realizzata in gomma con fibre di vetro per minima elasticità. Ideale per stampanti 3D e macchine CNC.</t>
  </si>
  <si>
    <t xml:space="preserve">27. Cinghia GT2 6mm 2 metri chiusa</t>
  </si>
  <si>
    <t xml:space="preserve">BEARING-608ZZ-8x22x7</t>
  </si>
  <si>
    <t xml:space="preserve">28.53</t>
  </si>
  <si>
    <t xml:space="preserve">18.44</t>
  </si>
  <si>
    <t xml:space="preserve">97.38</t>
  </si>
  <si>
    <t xml:space="preserve">89.14</t>
  </si>
  <si>
    <t xml:space="preserve">Cuscinetto radiale 608ZZ con dimensioni 8x22x7mm, schermato su entrambi i lati per proteggere dalla polvere. Lubrificato a vita. Ideale per skateboard, stampanti 3D e piccoli motori.</t>
  </si>
  <si>
    <t xml:space="preserve">28. Cuscinetto 608ZZ 8x22x7mm schermato</t>
  </si>
  <si>
    <t xml:space="preserve">38</t>
  </si>
  <si>
    <t xml:space="preserve">SPRING-COMP-30x100-2N</t>
  </si>
  <si>
    <t xml:space="preserve">4.53</t>
  </si>
  <si>
    <t xml:space="preserve">60.28</t>
  </si>
  <si>
    <t xml:space="preserve">57.91</t>
  </si>
  <si>
    <t xml:space="preserve">49.52</t>
  </si>
  <si>
    <t xml:space="preserve">Molla di compressione in acciaio inox, diametro 30mm, lunghezza 100mm, forza 2N. Trattamento anticorrosione, estremità chiuse e rettificate. Per applicazioni meccaniche e prototipazione.</t>
  </si>
  <si>
    <t xml:space="preserve">29. Molla compressione 30x100mm forza 2N</t>
  </si>
  <si>
    <t xml:space="preserve">84</t>
  </si>
  <si>
    <t xml:space="preserve">SCREW-M3x10-BH-SS10</t>
  </si>
  <si>
    <t xml:space="preserve">40.75</t>
  </si>
  <si>
    <t xml:space="preserve">9.57</t>
  </si>
  <si>
    <t xml:space="preserve">49.2</t>
  </si>
  <si>
    <t xml:space="preserve">44.39</t>
  </si>
  <si>
    <t xml:space="preserve">Viti M3 con lunghezza 10mm, testa bombata a croce, in acciaio inox A2. Filettatura metrica completa, confezione da 50 pezzi con rondelle incluse. Ideali per elettronica e assemblaggi delicati.</t>
  </si>
  <si>
    <t xml:space="preserve">30. Vite M3x10 testa bombata acciaio inox</t>
  </si>
  <si>
    <t xml:space="preserve">id_product</t>
  </si>
  <si>
    <t xml:space="preserve">id_supplier</t>
  </si>
  <si>
    <t xml:space="preserve">id_manufacturer</t>
  </si>
  <si>
    <t xml:space="preserve">id_category_default</t>
  </si>
  <si>
    <t xml:space="preserve">id_shop_default</t>
  </si>
  <si>
    <t xml:space="preserve">id_tax_rules_group</t>
  </si>
  <si>
    <t xml:space="preserve">on_sale</t>
  </si>
  <si>
    <t xml:space="preserve">online_only</t>
  </si>
  <si>
    <t xml:space="preserve">isbn</t>
  </si>
  <si>
    <t xml:space="preserve">upc</t>
  </si>
  <si>
    <t xml:space="preserve">mpn</t>
  </si>
  <si>
    <t xml:space="preserve">ecotax</t>
  </si>
  <si>
    <t xml:space="preserve">unit_price_ratio</t>
  </si>
  <si>
    <t xml:space="preserve">additional_shipping_cost</t>
  </si>
  <si>
    <t xml:space="preserve">supplier_reference</t>
  </si>
  <si>
    <t xml:space="preserve">quantity_discount</t>
  </si>
  <si>
    <t xml:space="preserve">customizable</t>
  </si>
  <si>
    <t xml:space="preserve">uploadable_files</t>
  </si>
  <si>
    <t xml:space="preserve">text_fields</t>
  </si>
  <si>
    <t xml:space="preserve">available_date</t>
  </si>
  <si>
    <t xml:space="preserve">indexed</t>
  </si>
  <si>
    <t xml:space="preserve">cache_default_attribute</t>
  </si>
  <si>
    <t xml:space="preserve">date_add</t>
  </si>
  <si>
    <t xml:space="preserve">date_upd</t>
  </si>
  <si>
    <t xml:space="preserve">state</t>
  </si>
  <si>
    <t xml:space="preserve">additional_delivery_times</t>
  </si>
  <si>
    <t xml:space="preserve">id_shop_list</t>
  </si>
  <si>
    <t xml:space="preserve">link_rewrite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</si>
</sst>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1"/>
  <sheetViews>
    <sheetView showFormulas="false" showGridLines="true" showRowColHeaders="true" showZeros="true" rightToLeft="false" tabSelected="true" showOutlineSymbols="true" defaultGridColor="true" view="normal" topLeftCell="AA1" colorId="64" zoomScale="100" zoomScaleNormal="100" zoomScalePageLayoutView="100" workbookViewId="0">
      <selection pane="topLeft" activeCell="AI1" activeCellId="0" sqref="AI:AI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6.89"/>
    <col collapsed="false" customWidth="true" hidden="false" outlineLevel="0" max="2" min="2" style="1" width="8.21"/>
    <col collapsed="false" customWidth="true" hidden="false" outlineLevel="0" max="3" min="3" style="1" width="16.12"/>
    <col collapsed="false" customWidth="true" hidden="false" outlineLevel="0" max="4" min="4" style="1" width="18.41"/>
    <col collapsed="false" customWidth="true" hidden="false" outlineLevel="0" max="5" min="5" style="1" width="14.59"/>
    <col collapsed="false" customWidth="true" hidden="false" outlineLevel="0" max="6" min="6" style="1" width="6.03"/>
    <col collapsed="false" customWidth="true" hidden="false" outlineLevel="0" max="7" min="7" style="1" width="14.97"/>
    <col collapsed="false" customWidth="true" hidden="false" outlineLevel="0" max="8" min="8" style="1" width="9.37"/>
    <col collapsed="false" customWidth="true" hidden="false" outlineLevel="0" max="9" min="9" style="1" width="37.05"/>
    <col collapsed="false" customWidth="true" hidden="false" outlineLevel="0" max="10" min="10" style="1" width="72.78"/>
    <col collapsed="false" customWidth="true" hidden="false" outlineLevel="0" max="11" min="11" style="1" width="6.03"/>
    <col collapsed="false" customWidth="true" hidden="false" outlineLevel="0" max="12" min="12" style="1" width="6.67"/>
    <col collapsed="false" customWidth="true" hidden="false" outlineLevel="0" max="13" min="13" style="1" width="6.18"/>
    <col collapsed="false" customWidth="true" hidden="false" outlineLevel="0" max="14" min="14" style="1" width="7.06"/>
    <col collapsed="false" customWidth="true" hidden="false" outlineLevel="0" max="15" min="15" style="1" width="12.03"/>
    <col collapsed="false" customWidth="true" hidden="false" outlineLevel="0" max="16" min="16" style="1" width="6.42"/>
    <col collapsed="false" customWidth="true" hidden="false" outlineLevel="0" max="17" min="17" style="1" width="14.06"/>
    <col collapsed="false" customWidth="true" hidden="false" outlineLevel="0" max="19" min="18" style="1" width="18.03"/>
    <col collapsed="false" customWidth="true" hidden="false" outlineLevel="0" max="20" min="20" style="1" width="14.06"/>
    <col collapsed="false" customWidth="true" hidden="false" outlineLevel="0" max="21" min="21" style="1" width="10.87"/>
    <col collapsed="false" customWidth="true" hidden="false" outlineLevel="0" max="22" min="22" style="1" width="14.06"/>
    <col collapsed="false" customWidth="true" hidden="false" outlineLevel="0" max="23" min="23" style="1" width="26.71"/>
    <col collapsed="false" customWidth="true" hidden="false" outlineLevel="0" max="24" min="24" style="1" width="15.1"/>
    <col collapsed="false" customWidth="true" hidden="false" outlineLevel="0" max="26" min="26" style="1" width="166.84"/>
    <col collapsed="false" customWidth="true" hidden="false" outlineLevel="0" max="29" min="27" style="1" width="14.06"/>
    <col collapsed="false" customWidth="true" hidden="false" outlineLevel="0" max="30" min="30" style="1" width="40.88"/>
    <col collapsed="false" customWidth="true" hidden="false" outlineLevel="0" max="32" min="31" style="1" width="13.44"/>
    <col collapsed="false" customWidth="true" hidden="false" outlineLevel="0" max="33" min="33" style="1" width="13.95"/>
    <col collapsed="false" customWidth="true" hidden="false" outlineLevel="0" max="34" min="34" style="1" width="15.86"/>
    <col collapsed="false" customWidth="true" hidden="false" outlineLevel="0" max="35" min="35" style="1" width="17.01"/>
    <col collapsed="false" customWidth="true" hidden="false" outlineLevel="0" max="36" min="36" style="1" width="110.05"/>
    <col collapsed="false" customWidth="true" hidden="false" outlineLevel="0" max="37" min="37" style="1" width="15.48"/>
    <col collapsed="false" customWidth="true" hidden="false" outlineLevel="0" max="38" min="38" style="1" width="27.86"/>
    <col collapsed="false" customWidth="true" hidden="false" outlineLevel="0" max="39" min="39" style="1" width="19.05"/>
    <col collapsed="false" customWidth="true" hidden="false" outlineLevel="0" max="40" min="40" style="1" width="18.92"/>
    <col collapsed="false" customWidth="true" hidden="false" outlineLevel="0" max="41" min="41" style="1" width="9.1"/>
    <col collapsed="false" customWidth="true" hidden="false" outlineLevel="0" max="42" min="42" style="1" width="10.1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customFormat="false" ht="15" hidden="false" customHeight="false" outlineLevel="0" collapsed="false">
      <c r="A2" s="2" t="n">
        <v>5901234123457</v>
      </c>
      <c r="B2" s="2" t="n">
        <f aca="true">C2+ROUND(RAND()*100,0)</f>
        <v>154</v>
      </c>
      <c r="C2" s="2" t="s">
        <v>42</v>
      </c>
      <c r="D2" s="2" t="n">
        <v>5</v>
      </c>
      <c r="E2" s="2" t="n">
        <v>1</v>
      </c>
      <c r="F2" s="2" t="n">
        <v>63.71</v>
      </c>
      <c r="G2" s="2" t="n">
        <f aca="false">F2/1.45</f>
        <v>43.9379310344828</v>
      </c>
      <c r="H2" s="2" t="s">
        <v>43</v>
      </c>
      <c r="I2" s="2" t="s">
        <v>44</v>
      </c>
      <c r="J2" s="2"/>
      <c r="K2" s="2" t="s">
        <v>45</v>
      </c>
      <c r="L2" s="2" t="s">
        <v>46</v>
      </c>
      <c r="M2" s="2" t="s">
        <v>47</v>
      </c>
      <c r="N2" s="2" t="s">
        <v>48</v>
      </c>
      <c r="O2" s="2" t="n">
        <v>2</v>
      </c>
      <c r="P2" s="2" t="s">
        <v>49</v>
      </c>
      <c r="Q2" s="2"/>
      <c r="R2" s="2"/>
      <c r="S2" s="2" t="s">
        <v>49</v>
      </c>
      <c r="T2" s="2" t="s">
        <v>50</v>
      </c>
      <c r="U2" s="2" t="s">
        <v>49</v>
      </c>
      <c r="V2" s="2" t="s">
        <v>51</v>
      </c>
      <c r="W2" s="2" t="s">
        <v>52</v>
      </c>
      <c r="X2" s="2" t="n">
        <v>3</v>
      </c>
      <c r="Z2" s="2" t="s">
        <v>53</v>
      </c>
      <c r="AA2" s="2"/>
      <c r="AB2" s="2"/>
      <c r="AC2" s="2"/>
      <c r="AD2" s="2" t="s">
        <v>54</v>
      </c>
      <c r="AE2" s="2" t="s">
        <v>55</v>
      </c>
      <c r="AF2" s="2"/>
      <c r="AG2" s="2"/>
      <c r="AH2" s="2"/>
      <c r="AI2" s="2"/>
      <c r="AJ2" s="2" t="s">
        <v>56</v>
      </c>
      <c r="AK2" s="2" t="s">
        <v>57</v>
      </c>
      <c r="AL2" s="2" t="s">
        <v>58</v>
      </c>
      <c r="AM2" s="2" t="s">
        <v>59</v>
      </c>
      <c r="AN2" s="2" t="s">
        <v>60</v>
      </c>
      <c r="AO2" s="2" t="s">
        <v>61</v>
      </c>
      <c r="AP2" s="2" t="s">
        <v>62</v>
      </c>
    </row>
    <row r="3" customFormat="false" ht="15" hidden="false" customHeight="false" outlineLevel="0" collapsed="false">
      <c r="A3" s="2" t="n">
        <v>4006381333931</v>
      </c>
      <c r="B3" s="2" t="n">
        <f aca="true">C3+ROUND(RAND()*100,0)</f>
        <v>124</v>
      </c>
      <c r="C3" s="2" t="s">
        <v>63</v>
      </c>
      <c r="D3" s="2" t="n">
        <v>10</v>
      </c>
      <c r="E3" s="2" t="n">
        <v>1</v>
      </c>
      <c r="F3" s="2" t="n">
        <v>11.73</v>
      </c>
      <c r="G3" s="2" t="n">
        <f aca="false">F3/1.45</f>
        <v>8.08965517241379</v>
      </c>
      <c r="H3" s="2" t="s">
        <v>43</v>
      </c>
      <c r="I3" s="2" t="s">
        <v>64</v>
      </c>
      <c r="J3" s="2"/>
      <c r="K3" s="2" t="s">
        <v>65</v>
      </c>
      <c r="L3" s="2" t="s">
        <v>66</v>
      </c>
      <c r="M3" s="2" t="s">
        <v>67</v>
      </c>
      <c r="N3" s="2" t="s">
        <v>68</v>
      </c>
      <c r="O3" s="2" t="n">
        <v>2</v>
      </c>
      <c r="P3" s="2" t="s">
        <v>49</v>
      </c>
      <c r="Q3" s="2"/>
      <c r="R3" s="2"/>
      <c r="S3" s="2" t="s">
        <v>49</v>
      </c>
      <c r="T3" s="2" t="s">
        <v>50</v>
      </c>
      <c r="U3" s="2" t="s">
        <v>49</v>
      </c>
      <c r="V3" s="2" t="s">
        <v>51</v>
      </c>
      <c r="W3" s="2" t="s">
        <v>49</v>
      </c>
      <c r="X3" s="2" t="n">
        <v>3</v>
      </c>
      <c r="Z3" s="2" t="s">
        <v>69</v>
      </c>
      <c r="AA3" s="2"/>
      <c r="AB3" s="2"/>
      <c r="AC3" s="2"/>
      <c r="AD3" s="2" t="s">
        <v>70</v>
      </c>
      <c r="AE3" s="2"/>
      <c r="AF3" s="2"/>
      <c r="AG3" s="2"/>
      <c r="AH3" s="2"/>
      <c r="AI3" s="2"/>
      <c r="AJ3" s="2" t="s">
        <v>71</v>
      </c>
      <c r="AL3" s="2" t="s">
        <v>72</v>
      </c>
      <c r="AM3" s="2" t="s">
        <v>73</v>
      </c>
      <c r="AO3" s="2" t="s">
        <v>74</v>
      </c>
      <c r="AP3" s="2" t="s">
        <v>62</v>
      </c>
    </row>
    <row r="4" customFormat="false" ht="15" hidden="false" customHeight="false" outlineLevel="0" collapsed="false">
      <c r="A4" s="2" t="n">
        <v>9780201379624</v>
      </c>
      <c r="B4" s="2" t="n">
        <f aca="true">C4+ROUND(RAND()*100,0)</f>
        <v>53</v>
      </c>
      <c r="C4" s="2" t="s">
        <v>75</v>
      </c>
      <c r="D4" s="2" t="n">
        <v>2</v>
      </c>
      <c r="E4" s="2" t="n">
        <v>1</v>
      </c>
      <c r="F4" s="2" t="n">
        <v>10.43</v>
      </c>
      <c r="G4" s="2" t="n">
        <f aca="false">F4/1.45</f>
        <v>7.19310344827586</v>
      </c>
      <c r="H4" s="2" t="s">
        <v>43</v>
      </c>
      <c r="I4" s="2" t="s">
        <v>76</v>
      </c>
      <c r="J4" s="2"/>
      <c r="K4" s="2" t="s">
        <v>77</v>
      </c>
      <c r="L4" s="2" t="s">
        <v>78</v>
      </c>
      <c r="M4" s="2" t="s">
        <v>79</v>
      </c>
      <c r="N4" s="2" t="s">
        <v>80</v>
      </c>
      <c r="O4" s="2" t="n">
        <v>2</v>
      </c>
      <c r="P4" s="2" t="s">
        <v>49</v>
      </c>
      <c r="Q4" s="2"/>
      <c r="R4" s="2"/>
      <c r="S4" s="2" t="s">
        <v>49</v>
      </c>
      <c r="T4" s="2" t="s">
        <v>50</v>
      </c>
      <c r="U4" s="2" t="s">
        <v>52</v>
      </c>
      <c r="V4" s="2" t="s">
        <v>51</v>
      </c>
      <c r="W4" s="2" t="s">
        <v>49</v>
      </c>
      <c r="X4" s="2" t="n">
        <v>3</v>
      </c>
      <c r="Z4" s="2" t="s">
        <v>81</v>
      </c>
      <c r="AA4" s="2"/>
      <c r="AB4" s="2"/>
      <c r="AC4" s="2"/>
      <c r="AD4" s="2" t="s">
        <v>82</v>
      </c>
      <c r="AE4" s="2" t="s">
        <v>55</v>
      </c>
      <c r="AF4" s="2"/>
      <c r="AG4" s="2"/>
      <c r="AH4" s="2"/>
      <c r="AI4" s="2"/>
      <c r="AJ4" s="2" t="s">
        <v>71</v>
      </c>
      <c r="AL4" s="2" t="s">
        <v>83</v>
      </c>
      <c r="AO4" s="2" t="s">
        <v>84</v>
      </c>
      <c r="AP4" s="2" t="s">
        <v>85</v>
      </c>
    </row>
    <row r="5" customFormat="false" ht="15" hidden="false" customHeight="false" outlineLevel="0" collapsed="false">
      <c r="A5" s="2" t="n">
        <v>1234567890128</v>
      </c>
      <c r="B5" s="2" t="n">
        <f aca="true">C5+ROUND(RAND()*100,0)</f>
        <v>99</v>
      </c>
      <c r="C5" s="2" t="s">
        <v>86</v>
      </c>
      <c r="D5" s="2" t="n">
        <v>15</v>
      </c>
      <c r="E5" s="2" t="n">
        <v>1</v>
      </c>
      <c r="F5" s="2" t="n">
        <v>95.44</v>
      </c>
      <c r="G5" s="2" t="n">
        <f aca="false">F5/1.45</f>
        <v>65.8206896551724</v>
      </c>
      <c r="H5" s="2" t="s">
        <v>43</v>
      </c>
      <c r="I5" s="2" t="s">
        <v>87</v>
      </c>
      <c r="J5" s="2"/>
      <c r="K5" s="2" t="s">
        <v>88</v>
      </c>
      <c r="L5" s="2" t="s">
        <v>89</v>
      </c>
      <c r="M5" s="2" t="s">
        <v>90</v>
      </c>
      <c r="N5" s="2" t="s">
        <v>91</v>
      </c>
      <c r="O5" s="2" t="n">
        <v>2</v>
      </c>
      <c r="P5" s="2" t="s">
        <v>52</v>
      </c>
      <c r="Q5" s="2"/>
      <c r="R5" s="2"/>
      <c r="S5" s="2" t="s">
        <v>49</v>
      </c>
      <c r="T5" s="2" t="s">
        <v>50</v>
      </c>
      <c r="U5" s="2" t="s">
        <v>49</v>
      </c>
      <c r="V5" s="2" t="s">
        <v>51</v>
      </c>
      <c r="W5" s="2" t="s">
        <v>52</v>
      </c>
      <c r="X5" s="2" t="n">
        <v>3</v>
      </c>
      <c r="Z5" s="2" t="s">
        <v>92</v>
      </c>
      <c r="AA5" s="2"/>
      <c r="AB5" s="2"/>
      <c r="AC5" s="2"/>
      <c r="AD5" s="2" t="s">
        <v>93</v>
      </c>
      <c r="AE5" s="2"/>
      <c r="AF5" s="2"/>
      <c r="AG5" s="2"/>
      <c r="AH5" s="2"/>
      <c r="AI5" s="2"/>
      <c r="AJ5" s="2" t="s">
        <v>94</v>
      </c>
      <c r="AK5" s="2" t="s">
        <v>95</v>
      </c>
      <c r="AL5" s="2" t="s">
        <v>96</v>
      </c>
      <c r="AM5" s="2" t="s">
        <v>73</v>
      </c>
      <c r="AN5" s="2" t="s">
        <v>97</v>
      </c>
      <c r="AO5" s="2" t="s">
        <v>98</v>
      </c>
    </row>
    <row r="6" customFormat="false" ht="15" hidden="false" customHeight="false" outlineLevel="0" collapsed="false">
      <c r="A6" s="2" t="n">
        <v>4012345678901</v>
      </c>
      <c r="B6" s="2" t="n">
        <f aca="true">C6+ROUND(RAND()*100,0)</f>
        <v>121</v>
      </c>
      <c r="C6" s="2" t="s">
        <v>99</v>
      </c>
      <c r="D6" s="2" t="n">
        <v>8</v>
      </c>
      <c r="E6" s="2" t="n">
        <v>1</v>
      </c>
      <c r="F6" s="2" t="n">
        <v>83.26</v>
      </c>
      <c r="G6" s="2" t="n">
        <f aca="false">F6/1.45</f>
        <v>57.4206896551724</v>
      </c>
      <c r="H6" s="2" t="s">
        <v>43</v>
      </c>
      <c r="I6" s="2" t="s">
        <v>100</v>
      </c>
      <c r="J6" s="2"/>
      <c r="K6" s="2" t="s">
        <v>101</v>
      </c>
      <c r="L6" s="2" t="s">
        <v>102</v>
      </c>
      <c r="M6" s="2" t="s">
        <v>103</v>
      </c>
      <c r="N6" s="2" t="s">
        <v>104</v>
      </c>
      <c r="O6" s="2" t="n">
        <v>2</v>
      </c>
      <c r="P6" s="2" t="s">
        <v>49</v>
      </c>
      <c r="Q6" s="2"/>
      <c r="R6" s="2"/>
      <c r="S6" s="2" t="s">
        <v>52</v>
      </c>
      <c r="T6" s="2" t="s">
        <v>50</v>
      </c>
      <c r="U6" s="2" t="s">
        <v>52</v>
      </c>
      <c r="V6" s="2" t="s">
        <v>51</v>
      </c>
      <c r="W6" s="2" t="s">
        <v>52</v>
      </c>
      <c r="X6" s="2" t="n">
        <v>3</v>
      </c>
      <c r="Z6" s="2" t="s">
        <v>105</v>
      </c>
      <c r="AA6" s="2"/>
      <c r="AB6" s="2"/>
      <c r="AC6" s="2"/>
      <c r="AD6" s="2" t="s">
        <v>106</v>
      </c>
      <c r="AE6" s="2"/>
      <c r="AF6" s="2"/>
      <c r="AG6" s="2"/>
      <c r="AH6" s="2"/>
      <c r="AI6" s="2"/>
      <c r="AM6" s="2" t="s">
        <v>107</v>
      </c>
      <c r="AO6" s="2" t="s">
        <v>74</v>
      </c>
    </row>
    <row r="7" customFormat="false" ht="15" hidden="false" customHeight="false" outlineLevel="0" collapsed="false">
      <c r="A7" s="2" t="n">
        <v>8001505012387</v>
      </c>
      <c r="B7" s="2" t="n">
        <f aca="true">C7+ROUND(RAND()*100,0)</f>
        <v>175</v>
      </c>
      <c r="C7" s="2" t="s">
        <v>99</v>
      </c>
      <c r="D7" s="2" t="n">
        <v>3</v>
      </c>
      <c r="E7" s="2" t="n">
        <v>1</v>
      </c>
      <c r="F7" s="2" t="n">
        <v>2.5</v>
      </c>
      <c r="G7" s="2" t="n">
        <f aca="false">F7/1.45</f>
        <v>1.72413793103448</v>
      </c>
      <c r="H7" s="2" t="s">
        <v>43</v>
      </c>
      <c r="I7" s="2" t="s">
        <v>108</v>
      </c>
      <c r="J7" s="2" t="s">
        <v>109</v>
      </c>
      <c r="K7" s="2" t="s">
        <v>110</v>
      </c>
      <c r="L7" s="2" t="s">
        <v>111</v>
      </c>
      <c r="M7" s="2" t="s">
        <v>112</v>
      </c>
      <c r="N7" s="2" t="s">
        <v>113</v>
      </c>
      <c r="O7" s="2" t="n">
        <v>2</v>
      </c>
      <c r="P7" s="2" t="s">
        <v>49</v>
      </c>
      <c r="Q7" s="2"/>
      <c r="R7" s="2"/>
      <c r="S7" s="2" t="s">
        <v>52</v>
      </c>
      <c r="T7" s="2" t="s">
        <v>50</v>
      </c>
      <c r="U7" s="2" t="s">
        <v>49</v>
      </c>
      <c r="V7" s="2" t="s">
        <v>51</v>
      </c>
      <c r="W7" s="2" t="s">
        <v>49</v>
      </c>
      <c r="X7" s="2" t="n">
        <v>3</v>
      </c>
      <c r="Z7" s="2" t="s">
        <v>114</v>
      </c>
      <c r="AA7" s="2"/>
      <c r="AB7" s="2"/>
      <c r="AC7" s="2"/>
      <c r="AD7" s="2" t="s">
        <v>115</v>
      </c>
      <c r="AE7" s="2"/>
      <c r="AF7" s="2"/>
      <c r="AG7" s="2"/>
      <c r="AH7" s="2"/>
      <c r="AI7" s="2"/>
      <c r="AJ7" s="2" t="s">
        <v>116</v>
      </c>
      <c r="AK7" s="2" t="s">
        <v>117</v>
      </c>
      <c r="AN7" s="2" t="s">
        <v>118</v>
      </c>
      <c r="AO7" s="2" t="s">
        <v>119</v>
      </c>
      <c r="AP7" s="2" t="s">
        <v>120</v>
      </c>
    </row>
    <row r="8" customFormat="false" ht="15" hidden="false" customHeight="false" outlineLevel="0" collapsed="false">
      <c r="A8" s="2" t="n">
        <v>5901234567890</v>
      </c>
      <c r="B8" s="2" t="n">
        <f aca="true">C8+ROUND(RAND()*100,0)</f>
        <v>92</v>
      </c>
      <c r="C8" s="2" t="s">
        <v>121</v>
      </c>
      <c r="D8" s="2" t="n">
        <v>20</v>
      </c>
      <c r="E8" s="2" t="n">
        <v>1</v>
      </c>
      <c r="F8" s="2" t="n">
        <v>23.42</v>
      </c>
      <c r="G8" s="2" t="n">
        <f aca="false">F8/1.45</f>
        <v>16.151724137931</v>
      </c>
      <c r="H8" s="2" t="s">
        <v>43</v>
      </c>
      <c r="I8" s="2" t="s">
        <v>122</v>
      </c>
      <c r="J8" s="2"/>
      <c r="K8" s="2" t="s">
        <v>123</v>
      </c>
      <c r="L8" s="2" t="s">
        <v>124</v>
      </c>
      <c r="M8" s="2" t="s">
        <v>125</v>
      </c>
      <c r="N8" s="2" t="s">
        <v>126</v>
      </c>
      <c r="O8" s="2" t="n">
        <v>2</v>
      </c>
      <c r="P8" s="2" t="s">
        <v>49</v>
      </c>
      <c r="Q8" s="2"/>
      <c r="R8" s="2"/>
      <c r="S8" s="2" t="s">
        <v>49</v>
      </c>
      <c r="T8" s="2" t="s">
        <v>127</v>
      </c>
      <c r="U8" s="2" t="s">
        <v>49</v>
      </c>
      <c r="V8" s="2" t="s">
        <v>51</v>
      </c>
      <c r="W8" s="2" t="s">
        <v>49</v>
      </c>
      <c r="X8" s="2" t="n">
        <v>3</v>
      </c>
      <c r="Z8" s="2" t="s">
        <v>128</v>
      </c>
      <c r="AA8" s="2"/>
      <c r="AB8" s="2"/>
      <c r="AC8" s="2"/>
      <c r="AD8" s="2" t="s">
        <v>129</v>
      </c>
      <c r="AE8" s="2"/>
      <c r="AF8" s="2"/>
      <c r="AG8" s="2"/>
      <c r="AH8" s="2"/>
      <c r="AI8" s="2"/>
    </row>
    <row r="9" customFormat="false" ht="15" hidden="false" customHeight="false" outlineLevel="0" collapsed="false">
      <c r="A9" s="2" t="n">
        <v>1234567890123</v>
      </c>
      <c r="B9" s="2" t="n">
        <f aca="true">C9+ROUND(RAND()*100,0)</f>
        <v>92</v>
      </c>
      <c r="C9" s="2" t="s">
        <v>130</v>
      </c>
      <c r="D9" s="2" t="n">
        <v>12</v>
      </c>
      <c r="E9" s="2" t="n">
        <v>1</v>
      </c>
      <c r="F9" s="2" t="n">
        <v>84.76</v>
      </c>
      <c r="G9" s="2" t="n">
        <f aca="false">F9/1.45</f>
        <v>58.4551724137931</v>
      </c>
      <c r="H9" s="2" t="s">
        <v>43</v>
      </c>
      <c r="I9" s="2" t="s">
        <v>131</v>
      </c>
      <c r="J9" s="2"/>
      <c r="K9" s="2" t="s">
        <v>132</v>
      </c>
      <c r="L9" s="2" t="s">
        <v>133</v>
      </c>
      <c r="M9" s="2" t="s">
        <v>134</v>
      </c>
      <c r="N9" s="2" t="s">
        <v>135</v>
      </c>
      <c r="O9" s="2" t="n">
        <v>2</v>
      </c>
      <c r="P9" s="2" t="s">
        <v>49</v>
      </c>
      <c r="Q9" s="2"/>
      <c r="R9" s="2"/>
      <c r="S9" s="2" t="s">
        <v>49</v>
      </c>
      <c r="T9" s="2" t="s">
        <v>50</v>
      </c>
      <c r="U9" s="2" t="s">
        <v>52</v>
      </c>
      <c r="V9" s="2" t="s">
        <v>51</v>
      </c>
      <c r="W9" s="2" t="s">
        <v>52</v>
      </c>
      <c r="X9" s="2" t="n">
        <v>3</v>
      </c>
      <c r="Z9" s="2" t="s">
        <v>136</v>
      </c>
      <c r="AA9" s="2"/>
      <c r="AB9" s="2"/>
      <c r="AC9" s="2"/>
      <c r="AD9" s="2" t="s">
        <v>137</v>
      </c>
      <c r="AE9" s="2" t="s">
        <v>55</v>
      </c>
      <c r="AF9" s="2"/>
      <c r="AG9" s="2"/>
      <c r="AH9" s="2"/>
      <c r="AI9" s="2"/>
    </row>
    <row r="10" customFormat="false" ht="15" hidden="false" customHeight="false" outlineLevel="0" collapsed="false">
      <c r="A10" s="2" t="n">
        <v>4012345123456</v>
      </c>
      <c r="B10" s="2" t="n">
        <f aca="true">C10+ROUND(RAND()*100,0)</f>
        <v>72</v>
      </c>
      <c r="C10" s="2" t="s">
        <v>138</v>
      </c>
      <c r="D10" s="2" t="n">
        <v>6</v>
      </c>
      <c r="E10" s="2" t="n">
        <v>1</v>
      </c>
      <c r="F10" s="2" t="n">
        <v>85.59</v>
      </c>
      <c r="G10" s="2" t="n">
        <f aca="false">F10/1.45</f>
        <v>59.0275862068966</v>
      </c>
      <c r="H10" s="2" t="s">
        <v>43</v>
      </c>
      <c r="I10" s="2" t="s">
        <v>139</v>
      </c>
      <c r="J10" s="2"/>
      <c r="K10" s="2" t="s">
        <v>140</v>
      </c>
      <c r="L10" s="2" t="s">
        <v>141</v>
      </c>
      <c r="M10" s="2" t="s">
        <v>142</v>
      </c>
      <c r="N10" s="2" t="s">
        <v>143</v>
      </c>
      <c r="O10" s="2" t="n">
        <v>2</v>
      </c>
      <c r="P10" s="2" t="s">
        <v>49</v>
      </c>
      <c r="Q10" s="2"/>
      <c r="R10" s="2"/>
      <c r="S10" s="2" t="s">
        <v>49</v>
      </c>
      <c r="T10" s="2" t="s">
        <v>50</v>
      </c>
      <c r="U10" s="2" t="s">
        <v>49</v>
      </c>
      <c r="V10" s="2" t="s">
        <v>51</v>
      </c>
      <c r="W10" s="2" t="s">
        <v>52</v>
      </c>
      <c r="X10" s="2" t="n">
        <v>3</v>
      </c>
      <c r="Z10" s="2" t="s">
        <v>144</v>
      </c>
      <c r="AA10" s="2"/>
      <c r="AB10" s="2"/>
      <c r="AC10" s="2"/>
      <c r="AD10" s="2" t="s">
        <v>145</v>
      </c>
      <c r="AE10" s="2" t="s">
        <v>55</v>
      </c>
      <c r="AF10" s="2"/>
      <c r="AG10" s="2"/>
      <c r="AH10" s="2"/>
      <c r="AI10" s="2"/>
    </row>
    <row r="11" customFormat="false" ht="15" hidden="false" customHeight="false" outlineLevel="0" collapsed="false">
      <c r="A11" s="2" t="n">
        <v>9783161484100</v>
      </c>
      <c r="B11" s="2" t="n">
        <f aca="true">C11+ROUND(RAND()*100,0)</f>
        <v>188</v>
      </c>
      <c r="C11" s="2" t="s">
        <v>146</v>
      </c>
      <c r="D11" s="2" t="n">
        <v>25</v>
      </c>
      <c r="E11" s="2" t="n">
        <v>1</v>
      </c>
      <c r="F11" s="2" t="n">
        <v>56.52</v>
      </c>
      <c r="G11" s="2" t="n">
        <f aca="false">F11/1.45</f>
        <v>38.9793103448276</v>
      </c>
      <c r="H11" s="2" t="s">
        <v>43</v>
      </c>
      <c r="I11" s="2" t="s">
        <v>147</v>
      </c>
      <c r="J11" s="2"/>
      <c r="K11" s="2" t="s">
        <v>148</v>
      </c>
      <c r="L11" s="2" t="s">
        <v>149</v>
      </c>
      <c r="M11" s="2" t="s">
        <v>150</v>
      </c>
      <c r="N11" s="2" t="s">
        <v>151</v>
      </c>
      <c r="O11" s="2" t="n">
        <v>2</v>
      </c>
      <c r="P11" s="2" t="s">
        <v>49</v>
      </c>
      <c r="Q11" s="2"/>
      <c r="R11" s="2"/>
      <c r="S11" s="2" t="s">
        <v>49</v>
      </c>
      <c r="T11" s="2" t="s">
        <v>50</v>
      </c>
      <c r="U11" s="2" t="s">
        <v>52</v>
      </c>
      <c r="V11" s="2" t="s">
        <v>51</v>
      </c>
      <c r="W11" s="2" t="s">
        <v>49</v>
      </c>
      <c r="X11" s="2" t="n">
        <v>3</v>
      </c>
      <c r="Z11" s="2" t="s">
        <v>152</v>
      </c>
      <c r="AA11" s="2"/>
      <c r="AB11" s="2"/>
      <c r="AC11" s="2"/>
      <c r="AD11" s="2" t="s">
        <v>153</v>
      </c>
      <c r="AE11" s="2"/>
      <c r="AF11" s="2"/>
      <c r="AG11" s="2"/>
      <c r="AH11" s="2"/>
      <c r="AI11" s="2"/>
    </row>
    <row r="12" customFormat="false" ht="15" hidden="false" customHeight="false" outlineLevel="0" collapsed="false">
      <c r="A12" s="2" t="n">
        <v>5901239876543</v>
      </c>
      <c r="B12" s="2" t="n">
        <f aca="true">C12+ROUND(RAND()*100,0)</f>
        <v>180</v>
      </c>
      <c r="C12" s="2" t="s">
        <v>154</v>
      </c>
      <c r="D12" s="2" t="n">
        <v>4</v>
      </c>
      <c r="E12" s="2" t="n">
        <v>1</v>
      </c>
      <c r="F12" s="2" t="n">
        <v>54.81</v>
      </c>
      <c r="G12" s="2" t="n">
        <f aca="false">F12/1.45</f>
        <v>37.8</v>
      </c>
      <c r="H12" s="2" t="s">
        <v>43</v>
      </c>
      <c r="I12" s="2" t="s">
        <v>155</v>
      </c>
      <c r="J12" s="2"/>
      <c r="K12" s="2" t="s">
        <v>156</v>
      </c>
      <c r="L12" s="2" t="s">
        <v>157</v>
      </c>
      <c r="M12" s="2" t="s">
        <v>158</v>
      </c>
      <c r="N12" s="2" t="s">
        <v>159</v>
      </c>
      <c r="O12" s="2" t="n">
        <v>2</v>
      </c>
      <c r="P12" s="2" t="s">
        <v>49</v>
      </c>
      <c r="Q12" s="2"/>
      <c r="R12" s="2"/>
      <c r="S12" s="2" t="s">
        <v>49</v>
      </c>
      <c r="T12" s="2" t="s">
        <v>50</v>
      </c>
      <c r="U12" s="2" t="s">
        <v>52</v>
      </c>
      <c r="V12" s="2" t="s">
        <v>51</v>
      </c>
      <c r="W12" s="2" t="s">
        <v>49</v>
      </c>
      <c r="X12" s="2" t="n">
        <v>3</v>
      </c>
      <c r="Z12" s="2" t="s">
        <v>160</v>
      </c>
      <c r="AA12" s="2"/>
      <c r="AB12" s="2"/>
      <c r="AC12" s="2"/>
      <c r="AD12" s="2" t="s">
        <v>161</v>
      </c>
      <c r="AE12" s="2" t="s">
        <v>55</v>
      </c>
      <c r="AF12" s="2"/>
      <c r="AG12" s="2"/>
      <c r="AH12" s="2"/>
      <c r="AI12" s="2"/>
    </row>
    <row r="13" customFormat="false" ht="15" hidden="false" customHeight="false" outlineLevel="0" collapsed="false">
      <c r="A13" s="2" t="n">
        <v>1234512345123</v>
      </c>
      <c r="B13" s="2" t="n">
        <f aca="true">C13+ROUND(RAND()*100,0)</f>
        <v>113</v>
      </c>
      <c r="C13" s="2" t="s">
        <v>162</v>
      </c>
      <c r="D13" s="2" t="n">
        <v>30</v>
      </c>
      <c r="E13" s="2" t="n">
        <v>0</v>
      </c>
      <c r="F13" s="2" t="n">
        <v>20.77</v>
      </c>
      <c r="G13" s="2" t="n">
        <f aca="false">F13/1.45</f>
        <v>14.3241379310345</v>
      </c>
      <c r="H13" s="2" t="s">
        <v>43</v>
      </c>
      <c r="I13" s="2" t="s">
        <v>163</v>
      </c>
      <c r="J13" s="2"/>
      <c r="K13" s="2" t="s">
        <v>164</v>
      </c>
      <c r="L13" s="2" t="s">
        <v>165</v>
      </c>
      <c r="M13" s="2" t="s">
        <v>166</v>
      </c>
      <c r="N13" s="2" t="s">
        <v>167</v>
      </c>
      <c r="O13" s="2" t="n">
        <v>2</v>
      </c>
      <c r="P13" s="2" t="s">
        <v>49</v>
      </c>
      <c r="Q13" s="2"/>
      <c r="R13" s="2"/>
      <c r="S13" s="2" t="s">
        <v>52</v>
      </c>
      <c r="T13" s="2" t="s">
        <v>50</v>
      </c>
      <c r="U13" s="2" t="s">
        <v>49</v>
      </c>
      <c r="V13" s="2" t="s">
        <v>51</v>
      </c>
      <c r="W13" s="2" t="s">
        <v>49</v>
      </c>
      <c r="X13" s="2" t="n">
        <v>3</v>
      </c>
      <c r="Z13" s="2" t="s">
        <v>168</v>
      </c>
      <c r="AA13" s="2"/>
      <c r="AB13" s="2"/>
      <c r="AC13" s="2"/>
      <c r="AD13" s="2" t="s">
        <v>169</v>
      </c>
      <c r="AE13" s="2"/>
      <c r="AF13" s="2"/>
      <c r="AG13" s="2"/>
      <c r="AH13" s="2"/>
      <c r="AI13" s="2"/>
    </row>
    <row r="14" customFormat="false" ht="15" hidden="false" customHeight="false" outlineLevel="0" collapsed="false">
      <c r="A14" s="2" t="n">
        <v>4001234567890</v>
      </c>
      <c r="B14" s="2" t="n">
        <f aca="true">C14+ROUND(RAND()*100,0)</f>
        <v>105</v>
      </c>
      <c r="C14" s="2" t="s">
        <v>170</v>
      </c>
      <c r="D14" s="2" t="n">
        <v>1</v>
      </c>
      <c r="E14" s="2" t="n">
        <v>0</v>
      </c>
      <c r="F14" s="2" t="n">
        <v>33.28</v>
      </c>
      <c r="G14" s="2" t="n">
        <f aca="false">F14/1.45</f>
        <v>22.951724137931</v>
      </c>
      <c r="H14" s="2" t="s">
        <v>43</v>
      </c>
      <c r="I14" s="2" t="s">
        <v>171</v>
      </c>
      <c r="J14" s="2"/>
      <c r="K14" s="2" t="s">
        <v>172</v>
      </c>
      <c r="L14" s="2" t="s">
        <v>173</v>
      </c>
      <c r="M14" s="2" t="s">
        <v>174</v>
      </c>
      <c r="N14" s="2" t="s">
        <v>175</v>
      </c>
      <c r="O14" s="2" t="n">
        <v>2</v>
      </c>
      <c r="P14" s="2" t="s">
        <v>52</v>
      </c>
      <c r="Q14" s="2"/>
      <c r="R14" s="2"/>
      <c r="S14" s="2" t="s">
        <v>52</v>
      </c>
      <c r="T14" s="2" t="s">
        <v>50</v>
      </c>
      <c r="U14" s="2" t="s">
        <v>49</v>
      </c>
      <c r="V14" s="2" t="s">
        <v>51</v>
      </c>
      <c r="W14" s="2" t="s">
        <v>52</v>
      </c>
      <c r="X14" s="2" t="n">
        <v>3</v>
      </c>
      <c r="Z14" s="2" t="s">
        <v>176</v>
      </c>
      <c r="AA14" s="2"/>
      <c r="AB14" s="2"/>
      <c r="AC14" s="2"/>
      <c r="AD14" s="2" t="s">
        <v>177</v>
      </c>
      <c r="AE14" s="2" t="s">
        <v>55</v>
      </c>
      <c r="AF14" s="2"/>
      <c r="AG14" s="2"/>
      <c r="AH14" s="2"/>
      <c r="AI14" s="2"/>
    </row>
    <row r="15" customFormat="false" ht="15" hidden="false" customHeight="false" outlineLevel="0" collapsed="false">
      <c r="A15" s="2" t="n">
        <v>8001234567891</v>
      </c>
      <c r="B15" s="2" t="n">
        <f aca="true">C15+ROUND(RAND()*100,0)</f>
        <v>49</v>
      </c>
      <c r="C15" s="2" t="s">
        <v>75</v>
      </c>
      <c r="D15" s="2" t="n">
        <v>50</v>
      </c>
      <c r="E15" s="2" t="n">
        <v>0</v>
      </c>
      <c r="F15" s="2" t="n">
        <v>37.73</v>
      </c>
      <c r="G15" s="2" t="n">
        <f aca="false">F15/1.45</f>
        <v>26.0206896551724</v>
      </c>
      <c r="H15" s="2" t="s">
        <v>43</v>
      </c>
      <c r="I15" s="2" t="s">
        <v>178</v>
      </c>
      <c r="J15" s="2"/>
      <c r="K15" s="2" t="s">
        <v>179</v>
      </c>
      <c r="L15" s="2" t="s">
        <v>180</v>
      </c>
      <c r="M15" s="2" t="s">
        <v>181</v>
      </c>
      <c r="N15" s="2" t="s">
        <v>182</v>
      </c>
      <c r="O15" s="2" t="n">
        <v>2</v>
      </c>
      <c r="P15" s="2" t="s">
        <v>49</v>
      </c>
      <c r="Q15" s="2"/>
      <c r="R15" s="2"/>
      <c r="S15" s="2" t="s">
        <v>49</v>
      </c>
      <c r="T15" s="2" t="s">
        <v>183</v>
      </c>
      <c r="U15" s="2" t="s">
        <v>49</v>
      </c>
      <c r="V15" s="2" t="s">
        <v>184</v>
      </c>
      <c r="W15" s="2" t="s">
        <v>49</v>
      </c>
      <c r="X15" s="2" t="n">
        <v>3</v>
      </c>
      <c r="Z15" s="2" t="s">
        <v>185</v>
      </c>
      <c r="AA15" s="2"/>
      <c r="AB15" s="2"/>
      <c r="AC15" s="2"/>
      <c r="AD15" s="2" t="s">
        <v>186</v>
      </c>
      <c r="AE15" s="2"/>
      <c r="AF15" s="2"/>
      <c r="AG15" s="2"/>
      <c r="AH15" s="2"/>
      <c r="AI15" s="2"/>
    </row>
    <row r="16" customFormat="false" ht="15" hidden="false" customHeight="false" outlineLevel="0" collapsed="false">
      <c r="A16" s="2" t="n">
        <v>5905551234567</v>
      </c>
      <c r="B16" s="2" t="n">
        <f aca="true">C16+ROUND(RAND()*100,0)</f>
        <v>136</v>
      </c>
      <c r="C16" s="2" t="s">
        <v>187</v>
      </c>
      <c r="D16" s="2" t="n">
        <v>7</v>
      </c>
      <c r="E16" s="2" t="n">
        <v>0</v>
      </c>
      <c r="F16" s="2" t="n">
        <v>38.4</v>
      </c>
      <c r="G16" s="2" t="n">
        <f aca="false">F16/1.45</f>
        <v>26.4827586206897</v>
      </c>
      <c r="H16" s="2" t="s">
        <v>43</v>
      </c>
      <c r="I16" s="2" t="s">
        <v>188</v>
      </c>
      <c r="J16" s="2"/>
      <c r="K16" s="2" t="s">
        <v>189</v>
      </c>
      <c r="L16" s="2" t="s">
        <v>190</v>
      </c>
      <c r="M16" s="2" t="s">
        <v>191</v>
      </c>
      <c r="N16" s="2" t="s">
        <v>192</v>
      </c>
      <c r="O16" s="2" t="n">
        <v>2</v>
      </c>
      <c r="P16" s="2" t="s">
        <v>49</v>
      </c>
      <c r="Q16" s="2"/>
      <c r="R16" s="2"/>
      <c r="S16" s="2" t="s">
        <v>52</v>
      </c>
      <c r="T16" s="2" t="s">
        <v>50</v>
      </c>
      <c r="U16" s="2" t="s">
        <v>52</v>
      </c>
      <c r="V16" s="2" t="s">
        <v>51</v>
      </c>
      <c r="W16" s="2" t="s">
        <v>49</v>
      </c>
      <c r="X16" s="2" t="n">
        <v>3</v>
      </c>
      <c r="Z16" s="2" t="s">
        <v>193</v>
      </c>
      <c r="AA16" s="2"/>
      <c r="AB16" s="2"/>
      <c r="AC16" s="2"/>
      <c r="AD16" s="2" t="s">
        <v>194</v>
      </c>
      <c r="AE16" s="2"/>
      <c r="AF16" s="2"/>
      <c r="AG16" s="2"/>
      <c r="AH16" s="2"/>
      <c r="AI16" s="2"/>
    </row>
    <row r="17" customFormat="false" ht="15" hidden="false" customHeight="false" outlineLevel="0" collapsed="false">
      <c r="A17" s="2" t="n">
        <v>1234567890120</v>
      </c>
      <c r="B17" s="2" t="n">
        <f aca="true">C17+ROUND(RAND()*100,0)</f>
        <v>66</v>
      </c>
      <c r="C17" s="2" t="s">
        <v>195</v>
      </c>
      <c r="D17" s="2" t="n">
        <v>24</v>
      </c>
      <c r="E17" s="2" t="n">
        <v>0</v>
      </c>
      <c r="F17" s="2" t="n">
        <v>92.25</v>
      </c>
      <c r="G17" s="2" t="n">
        <f aca="false">F17/1.45</f>
        <v>63.6206896551724</v>
      </c>
      <c r="H17" s="2" t="s">
        <v>43</v>
      </c>
      <c r="I17" s="2" t="s">
        <v>196</v>
      </c>
      <c r="J17" s="2" t="s">
        <v>197</v>
      </c>
      <c r="K17" s="2" t="s">
        <v>198</v>
      </c>
      <c r="L17" s="2" t="s">
        <v>199</v>
      </c>
      <c r="M17" s="2" t="s">
        <v>200</v>
      </c>
      <c r="N17" s="2" t="s">
        <v>201</v>
      </c>
      <c r="O17" s="2" t="n">
        <v>2</v>
      </c>
      <c r="P17" s="2" t="s">
        <v>52</v>
      </c>
      <c r="Q17" s="2"/>
      <c r="R17" s="2"/>
      <c r="S17" s="2" t="s">
        <v>49</v>
      </c>
      <c r="T17" s="2" t="s">
        <v>50</v>
      </c>
      <c r="U17" s="2" t="s">
        <v>49</v>
      </c>
      <c r="V17" s="2" t="s">
        <v>51</v>
      </c>
      <c r="W17" s="2" t="s">
        <v>52</v>
      </c>
      <c r="X17" s="2" t="n">
        <v>3</v>
      </c>
      <c r="Z17" s="2" t="s">
        <v>202</v>
      </c>
      <c r="AA17" s="2"/>
      <c r="AB17" s="2"/>
      <c r="AC17" s="2"/>
      <c r="AD17" s="2" t="s">
        <v>203</v>
      </c>
      <c r="AE17" s="2" t="s">
        <v>55</v>
      </c>
      <c r="AF17" s="2"/>
      <c r="AG17" s="2"/>
      <c r="AH17" s="2"/>
      <c r="AI17" s="2"/>
    </row>
    <row r="18" customFormat="false" ht="15" hidden="false" customHeight="false" outlineLevel="0" collapsed="false">
      <c r="A18" s="2" t="n">
        <v>4012345123451</v>
      </c>
      <c r="B18" s="2" t="n">
        <f aca="true">C18+ROUND(RAND()*100,0)</f>
        <v>135</v>
      </c>
      <c r="C18" s="2" t="s">
        <v>204</v>
      </c>
      <c r="D18" s="2" t="n">
        <v>100</v>
      </c>
      <c r="E18" s="2" t="n">
        <v>1</v>
      </c>
      <c r="F18" s="2" t="n">
        <v>9.59</v>
      </c>
      <c r="G18" s="2" t="n">
        <f aca="false">F18/1.45</f>
        <v>6.61379310344828</v>
      </c>
      <c r="H18" s="2" t="s">
        <v>43</v>
      </c>
      <c r="I18" s="2" t="s">
        <v>205</v>
      </c>
      <c r="J18" s="2"/>
      <c r="K18" s="2" t="s">
        <v>206</v>
      </c>
      <c r="L18" s="2" t="s">
        <v>207</v>
      </c>
      <c r="M18" s="2" t="s">
        <v>208</v>
      </c>
      <c r="N18" s="2" t="s">
        <v>209</v>
      </c>
      <c r="O18" s="2" t="n">
        <v>2</v>
      </c>
      <c r="P18" s="2" t="s">
        <v>52</v>
      </c>
      <c r="Q18" s="2"/>
      <c r="R18" s="2"/>
      <c r="S18" s="2" t="s">
        <v>52</v>
      </c>
      <c r="T18" s="2" t="s">
        <v>183</v>
      </c>
      <c r="U18" s="2" t="s">
        <v>52</v>
      </c>
      <c r="V18" s="2" t="s">
        <v>51</v>
      </c>
      <c r="W18" s="2" t="s">
        <v>52</v>
      </c>
      <c r="X18" s="2" t="n">
        <v>3</v>
      </c>
      <c r="Z18" s="2" t="s">
        <v>210</v>
      </c>
      <c r="AA18" s="2"/>
      <c r="AB18" s="2"/>
      <c r="AC18" s="2"/>
      <c r="AD18" s="2" t="s">
        <v>211</v>
      </c>
      <c r="AE18" s="2" t="s">
        <v>55</v>
      </c>
      <c r="AF18" s="2"/>
      <c r="AG18" s="2"/>
      <c r="AH18" s="2"/>
      <c r="AI18" s="2"/>
    </row>
    <row r="19" customFormat="false" ht="15" hidden="false" customHeight="false" outlineLevel="0" collapsed="false">
      <c r="A19" s="2" t="n">
        <v>9780123456789</v>
      </c>
      <c r="B19" s="2" t="n">
        <f aca="true">C19+ROUND(RAND()*100,0)</f>
        <v>125</v>
      </c>
      <c r="C19" s="2" t="s">
        <v>212</v>
      </c>
      <c r="D19" s="2" t="n">
        <v>9</v>
      </c>
      <c r="E19" s="2" t="n">
        <v>1</v>
      </c>
      <c r="F19" s="2" t="n">
        <v>33.2</v>
      </c>
      <c r="G19" s="2" t="n">
        <f aca="false">F19/1.45</f>
        <v>22.8965517241379</v>
      </c>
      <c r="H19" s="2" t="s">
        <v>43</v>
      </c>
      <c r="I19" s="2" t="s">
        <v>213</v>
      </c>
      <c r="J19" s="2"/>
      <c r="K19" s="2" t="s">
        <v>214</v>
      </c>
      <c r="L19" s="2" t="s">
        <v>215</v>
      </c>
      <c r="M19" s="2" t="s">
        <v>216</v>
      </c>
      <c r="N19" s="2" t="s">
        <v>217</v>
      </c>
      <c r="O19" s="2" t="n">
        <v>2</v>
      </c>
      <c r="P19" s="2" t="s">
        <v>52</v>
      </c>
      <c r="Q19" s="2"/>
      <c r="R19" s="2"/>
      <c r="S19" s="2" t="s">
        <v>52</v>
      </c>
      <c r="T19" s="2" t="s">
        <v>50</v>
      </c>
      <c r="U19" s="2" t="s">
        <v>49</v>
      </c>
      <c r="V19" s="2" t="s">
        <v>51</v>
      </c>
      <c r="W19" s="2" t="s">
        <v>49</v>
      </c>
      <c r="X19" s="2" t="n">
        <v>3</v>
      </c>
      <c r="Z19" s="2" t="s">
        <v>218</v>
      </c>
      <c r="AA19" s="2"/>
      <c r="AB19" s="2"/>
      <c r="AC19" s="2"/>
      <c r="AD19" s="2" t="s">
        <v>219</v>
      </c>
      <c r="AE19" s="2"/>
      <c r="AF19" s="2"/>
      <c r="AG19" s="2"/>
      <c r="AH19" s="2"/>
      <c r="AI19" s="2"/>
    </row>
    <row r="20" customFormat="false" ht="15" hidden="false" customHeight="false" outlineLevel="0" collapsed="false">
      <c r="A20" s="2" t="n">
        <v>8001505023456</v>
      </c>
      <c r="B20" s="2" t="n">
        <f aca="true">C20+ROUND(RAND()*100,0)</f>
        <v>100</v>
      </c>
      <c r="C20" s="2" t="s">
        <v>220</v>
      </c>
      <c r="D20" s="2" t="n">
        <v>18</v>
      </c>
      <c r="E20" s="2" t="n">
        <v>1</v>
      </c>
      <c r="F20" s="2" t="n">
        <v>89.6</v>
      </c>
      <c r="G20" s="2" t="n">
        <f aca="false">F20/1.45</f>
        <v>61.7931034482759</v>
      </c>
      <c r="H20" s="2" t="s">
        <v>43</v>
      </c>
      <c r="I20" s="2" t="s">
        <v>221</v>
      </c>
      <c r="J20" s="2"/>
      <c r="K20" s="2" t="s">
        <v>222</v>
      </c>
      <c r="L20" s="2" t="s">
        <v>223</v>
      </c>
      <c r="M20" s="2" t="s">
        <v>224</v>
      </c>
      <c r="N20" s="2" t="s">
        <v>225</v>
      </c>
      <c r="O20" s="2" t="n">
        <v>2</v>
      </c>
      <c r="P20" s="2" t="s">
        <v>49</v>
      </c>
      <c r="Q20" s="2"/>
      <c r="R20" s="2"/>
      <c r="S20" s="2" t="s">
        <v>52</v>
      </c>
      <c r="T20" s="2" t="s">
        <v>50</v>
      </c>
      <c r="U20" s="2" t="s">
        <v>49</v>
      </c>
      <c r="V20" s="2" t="s">
        <v>51</v>
      </c>
      <c r="W20" s="2" t="s">
        <v>52</v>
      </c>
      <c r="X20" s="2" t="n">
        <v>3</v>
      </c>
      <c r="Z20" s="2" t="s">
        <v>226</v>
      </c>
      <c r="AA20" s="2"/>
      <c r="AB20" s="2"/>
      <c r="AC20" s="2"/>
      <c r="AD20" s="2" t="s">
        <v>227</v>
      </c>
      <c r="AE20" s="2"/>
      <c r="AF20" s="2"/>
      <c r="AG20" s="2"/>
      <c r="AH20" s="2"/>
      <c r="AI20" s="2"/>
    </row>
    <row r="21" customFormat="false" ht="15" hidden="false" customHeight="false" outlineLevel="0" collapsed="false">
      <c r="A21" s="2" t="n">
        <v>5901112223337</v>
      </c>
      <c r="B21" s="2" t="n">
        <f aca="true">C21+ROUND(RAND()*100,0)</f>
        <v>99</v>
      </c>
      <c r="C21" s="2" t="s">
        <v>228</v>
      </c>
      <c r="D21" s="2" t="n">
        <v>60</v>
      </c>
      <c r="E21" s="2" t="n">
        <v>1</v>
      </c>
      <c r="F21" s="2" t="n">
        <v>71.51</v>
      </c>
      <c r="G21" s="2" t="n">
        <f aca="false">F21/1.45</f>
        <v>49.3172413793104</v>
      </c>
      <c r="H21" s="2" t="s">
        <v>43</v>
      </c>
      <c r="I21" s="2" t="s">
        <v>229</v>
      </c>
      <c r="J21" s="2"/>
      <c r="K21" s="2" t="s">
        <v>230</v>
      </c>
      <c r="L21" s="2" t="s">
        <v>231</v>
      </c>
      <c r="M21" s="2" t="s">
        <v>232</v>
      </c>
      <c r="N21" s="2" t="s">
        <v>233</v>
      </c>
      <c r="O21" s="2" t="n">
        <v>2</v>
      </c>
      <c r="P21" s="2" t="s">
        <v>49</v>
      </c>
      <c r="Q21" s="2"/>
      <c r="R21" s="2"/>
      <c r="S21" s="2" t="s">
        <v>52</v>
      </c>
      <c r="T21" s="2" t="s">
        <v>50</v>
      </c>
      <c r="U21" s="2" t="s">
        <v>52</v>
      </c>
      <c r="V21" s="2" t="s">
        <v>234</v>
      </c>
      <c r="W21" s="2" t="s">
        <v>49</v>
      </c>
      <c r="X21" s="2" t="n">
        <v>3</v>
      </c>
      <c r="Z21" s="2" t="s">
        <v>235</v>
      </c>
      <c r="AA21" s="2"/>
      <c r="AB21" s="2"/>
      <c r="AC21" s="2"/>
      <c r="AD21" s="2" t="s">
        <v>236</v>
      </c>
      <c r="AE21" s="2"/>
      <c r="AF21" s="2"/>
      <c r="AG21" s="2"/>
      <c r="AH21" s="2"/>
      <c r="AI21" s="2"/>
    </row>
    <row r="22" customFormat="false" ht="15" hidden="false" customHeight="false" outlineLevel="0" collapsed="false">
      <c r="A22" s="2" t="n">
        <v>1234567890124</v>
      </c>
      <c r="B22" s="2" t="n">
        <f aca="true">C22+ROUND(RAND()*100,0)</f>
        <v>102</v>
      </c>
      <c r="C22" s="2" t="s">
        <v>237</v>
      </c>
      <c r="D22" s="2" t="n">
        <v>14</v>
      </c>
      <c r="E22" s="2" t="n">
        <v>1</v>
      </c>
      <c r="F22" s="2" t="n">
        <v>80.98</v>
      </c>
      <c r="G22" s="2" t="n">
        <f aca="false">F22/1.45</f>
        <v>55.848275862069</v>
      </c>
      <c r="H22" s="2" t="s">
        <v>43</v>
      </c>
      <c r="I22" s="2" t="s">
        <v>238</v>
      </c>
      <c r="J22" s="2"/>
      <c r="K22" s="2" t="s">
        <v>239</v>
      </c>
      <c r="L22" s="2" t="s">
        <v>240</v>
      </c>
      <c r="M22" s="2" t="s">
        <v>241</v>
      </c>
      <c r="N22" s="2" t="s">
        <v>242</v>
      </c>
      <c r="O22" s="2" t="n">
        <v>2</v>
      </c>
      <c r="P22" s="2" t="s">
        <v>49</v>
      </c>
      <c r="Q22" s="2"/>
      <c r="R22" s="2"/>
      <c r="S22" s="2" t="s">
        <v>49</v>
      </c>
      <c r="T22" s="2" t="s">
        <v>183</v>
      </c>
      <c r="U22" s="2" t="s">
        <v>49</v>
      </c>
      <c r="V22" s="2" t="s">
        <v>51</v>
      </c>
      <c r="W22" s="2" t="s">
        <v>52</v>
      </c>
      <c r="X22" s="2" t="n">
        <v>3</v>
      </c>
      <c r="Z22" s="2" t="s">
        <v>243</v>
      </c>
      <c r="AA22" s="2"/>
      <c r="AB22" s="2"/>
      <c r="AC22" s="2"/>
      <c r="AD22" s="2" t="s">
        <v>244</v>
      </c>
      <c r="AE22" s="2"/>
      <c r="AF22" s="2"/>
      <c r="AG22" s="2"/>
      <c r="AH22" s="2"/>
      <c r="AI22" s="2"/>
    </row>
    <row r="23" customFormat="false" ht="15" hidden="false" customHeight="false" outlineLevel="0" collapsed="false">
      <c r="A23" s="2" t="n">
        <v>4006381333932</v>
      </c>
      <c r="B23" s="2" t="n">
        <f aca="true">C23+ROUND(RAND()*100,0)</f>
        <v>176</v>
      </c>
      <c r="C23" s="2" t="s">
        <v>245</v>
      </c>
      <c r="D23" s="2" t="n">
        <v>75</v>
      </c>
      <c r="E23" s="2" t="n">
        <v>1</v>
      </c>
      <c r="F23" s="2" t="n">
        <v>73.3</v>
      </c>
      <c r="G23" s="2" t="n">
        <f aca="false">F23/1.45</f>
        <v>50.551724137931</v>
      </c>
      <c r="H23" s="2" t="s">
        <v>43</v>
      </c>
      <c r="I23" s="2" t="s">
        <v>246</v>
      </c>
      <c r="J23" s="2"/>
      <c r="K23" s="2" t="s">
        <v>247</v>
      </c>
      <c r="L23" s="2" t="s">
        <v>248</v>
      </c>
      <c r="M23" s="2" t="s">
        <v>249</v>
      </c>
      <c r="N23" s="2" t="s">
        <v>250</v>
      </c>
      <c r="O23" s="2" t="n">
        <v>2</v>
      </c>
      <c r="P23" s="2" t="s">
        <v>49</v>
      </c>
      <c r="Q23" s="2"/>
      <c r="R23" s="2"/>
      <c r="S23" s="2" t="s">
        <v>52</v>
      </c>
      <c r="T23" s="2" t="s">
        <v>50</v>
      </c>
      <c r="U23" s="2" t="s">
        <v>49</v>
      </c>
      <c r="V23" s="2" t="s">
        <v>51</v>
      </c>
      <c r="W23" s="2" t="s">
        <v>49</v>
      </c>
      <c r="X23" s="2" t="n">
        <v>3</v>
      </c>
      <c r="Z23" s="2" t="s">
        <v>251</v>
      </c>
      <c r="AA23" s="2"/>
      <c r="AB23" s="2"/>
      <c r="AC23" s="2"/>
      <c r="AD23" s="2" t="s">
        <v>252</v>
      </c>
      <c r="AE23" s="2"/>
      <c r="AF23" s="2"/>
      <c r="AG23" s="2"/>
      <c r="AH23" s="2"/>
      <c r="AI23" s="2"/>
    </row>
    <row r="24" customFormat="false" ht="15" hidden="false" customHeight="false" outlineLevel="0" collapsed="false">
      <c r="A24" s="2" t="n">
        <v>5901234000017</v>
      </c>
      <c r="B24" s="2" t="n">
        <f aca="true">C24+ROUND(RAND()*100,0)</f>
        <v>55</v>
      </c>
      <c r="C24" s="2" t="s">
        <v>253</v>
      </c>
      <c r="D24" s="2" t="n">
        <v>11</v>
      </c>
      <c r="E24" s="2" t="n">
        <v>0</v>
      </c>
      <c r="F24" s="2" t="n">
        <v>42.58</v>
      </c>
      <c r="G24" s="2" t="n">
        <f aca="false">F24/1.45</f>
        <v>29.3655172413793</v>
      </c>
      <c r="H24" s="2" t="s">
        <v>43</v>
      </c>
      <c r="I24" s="2" t="s">
        <v>254</v>
      </c>
      <c r="J24" s="2"/>
      <c r="K24" s="2" t="s">
        <v>255</v>
      </c>
      <c r="L24" s="2" t="s">
        <v>256</v>
      </c>
      <c r="M24" s="2" t="s">
        <v>257</v>
      </c>
      <c r="N24" s="2" t="s">
        <v>258</v>
      </c>
      <c r="O24" s="2" t="n">
        <v>2</v>
      </c>
      <c r="P24" s="2" t="s">
        <v>52</v>
      </c>
      <c r="Q24" s="2"/>
      <c r="R24" s="2"/>
      <c r="S24" s="2" t="s">
        <v>49</v>
      </c>
      <c r="T24" s="2" t="s">
        <v>50</v>
      </c>
      <c r="U24" s="2" t="s">
        <v>52</v>
      </c>
      <c r="V24" s="2" t="s">
        <v>51</v>
      </c>
      <c r="W24" s="2" t="s">
        <v>52</v>
      </c>
      <c r="X24" s="2" t="n">
        <v>3</v>
      </c>
      <c r="Z24" s="2" t="s">
        <v>259</v>
      </c>
      <c r="AA24" s="2"/>
      <c r="AB24" s="2"/>
      <c r="AC24" s="2"/>
      <c r="AD24" s="2" t="s">
        <v>260</v>
      </c>
      <c r="AE24" s="2" t="s">
        <v>55</v>
      </c>
      <c r="AF24" s="2"/>
      <c r="AG24" s="2"/>
      <c r="AH24" s="2"/>
      <c r="AI24" s="2"/>
    </row>
    <row r="25" customFormat="false" ht="15" hidden="false" customHeight="false" outlineLevel="0" collapsed="false">
      <c r="A25" s="2" t="n">
        <v>1234512345122</v>
      </c>
      <c r="B25" s="2" t="n">
        <f aca="true">C25+ROUND(RAND()*100,0)</f>
        <v>159</v>
      </c>
      <c r="C25" s="2" t="s">
        <v>261</v>
      </c>
      <c r="D25" s="2" t="n">
        <v>40</v>
      </c>
      <c r="E25" s="2" t="n">
        <v>1</v>
      </c>
      <c r="F25" s="2" t="n">
        <v>71.11</v>
      </c>
      <c r="G25" s="2" t="n">
        <f aca="false">F25/1.45</f>
        <v>49.0413793103448</v>
      </c>
      <c r="H25" s="2" t="s">
        <v>43</v>
      </c>
      <c r="I25" s="2" t="s">
        <v>262</v>
      </c>
      <c r="J25" s="2"/>
      <c r="K25" s="2" t="s">
        <v>263</v>
      </c>
      <c r="L25" s="2" t="s">
        <v>264</v>
      </c>
      <c r="M25" s="2" t="s">
        <v>265</v>
      </c>
      <c r="N25" s="2" t="s">
        <v>266</v>
      </c>
      <c r="O25" s="2" t="n">
        <v>2</v>
      </c>
      <c r="P25" s="2" t="s">
        <v>52</v>
      </c>
      <c r="Q25" s="2"/>
      <c r="R25" s="2"/>
      <c r="S25" s="2" t="s">
        <v>49</v>
      </c>
      <c r="T25" s="2" t="s">
        <v>50</v>
      </c>
      <c r="U25" s="2" t="s">
        <v>49</v>
      </c>
      <c r="V25" s="2" t="s">
        <v>51</v>
      </c>
      <c r="W25" s="2" t="s">
        <v>49</v>
      </c>
      <c r="X25" s="2" t="n">
        <v>3</v>
      </c>
      <c r="Z25" s="2" t="s">
        <v>267</v>
      </c>
      <c r="AA25" s="2"/>
      <c r="AB25" s="2"/>
      <c r="AC25" s="2"/>
      <c r="AD25" s="2" t="s">
        <v>268</v>
      </c>
      <c r="AE25" s="2"/>
      <c r="AF25" s="2"/>
      <c r="AG25" s="2"/>
      <c r="AH25" s="2"/>
      <c r="AI25" s="2"/>
    </row>
    <row r="26" customFormat="false" ht="15" hidden="false" customHeight="false" outlineLevel="0" collapsed="false">
      <c r="A26" s="2" t="n">
        <v>4012345678903</v>
      </c>
      <c r="B26" s="2" t="n">
        <f aca="true">C26+ROUND(RAND()*100,0)</f>
        <v>66</v>
      </c>
      <c r="C26" s="2" t="s">
        <v>269</v>
      </c>
      <c r="D26" s="2" t="n">
        <v>16</v>
      </c>
      <c r="E26" s="2" t="n">
        <v>1</v>
      </c>
      <c r="F26" s="2" t="n">
        <v>50.61</v>
      </c>
      <c r="G26" s="2" t="n">
        <f aca="false">F26/1.45</f>
        <v>34.9034482758621</v>
      </c>
      <c r="H26" s="2" t="s">
        <v>43</v>
      </c>
      <c r="I26" s="2" t="s">
        <v>270</v>
      </c>
      <c r="J26" s="2" t="s">
        <v>271</v>
      </c>
      <c r="K26" s="2" t="s">
        <v>272</v>
      </c>
      <c r="L26" s="2" t="s">
        <v>273</v>
      </c>
      <c r="M26" s="2" t="s">
        <v>274</v>
      </c>
      <c r="N26" s="2" t="s">
        <v>275</v>
      </c>
      <c r="O26" s="2" t="n">
        <v>2</v>
      </c>
      <c r="P26" s="2" t="s">
        <v>52</v>
      </c>
      <c r="Q26" s="2"/>
      <c r="R26" s="2"/>
      <c r="S26" s="2" t="s">
        <v>49</v>
      </c>
      <c r="T26" s="2" t="s">
        <v>183</v>
      </c>
      <c r="U26" s="2" t="s">
        <v>52</v>
      </c>
      <c r="V26" s="2" t="s">
        <v>276</v>
      </c>
      <c r="W26" s="2" t="s">
        <v>49</v>
      </c>
      <c r="X26" s="2" t="n">
        <v>3</v>
      </c>
      <c r="Z26" s="2" t="s">
        <v>277</v>
      </c>
      <c r="AA26" s="2"/>
      <c r="AB26" s="2"/>
      <c r="AC26" s="2"/>
      <c r="AD26" s="2" t="s">
        <v>278</v>
      </c>
      <c r="AE26" s="2" t="s">
        <v>55</v>
      </c>
      <c r="AF26" s="2"/>
      <c r="AG26" s="2"/>
      <c r="AH26" s="2"/>
      <c r="AI26" s="2"/>
    </row>
    <row r="27" customFormat="false" ht="15" hidden="false" customHeight="false" outlineLevel="0" collapsed="false">
      <c r="A27" s="2" t="n">
        <v>9783161484101</v>
      </c>
      <c r="B27" s="2" t="n">
        <f aca="true">C27+ROUND(RAND()*100,0)</f>
        <v>93</v>
      </c>
      <c r="C27" s="2" t="s">
        <v>279</v>
      </c>
      <c r="D27" s="2" t="n">
        <v>200</v>
      </c>
      <c r="E27" s="2" t="n">
        <v>1</v>
      </c>
      <c r="F27" s="2" t="n">
        <v>46.59</v>
      </c>
      <c r="G27" s="2" t="n">
        <f aca="false">F27/1.45</f>
        <v>32.1310344827586</v>
      </c>
      <c r="H27" s="2" t="s">
        <v>43</v>
      </c>
      <c r="I27" s="2" t="s">
        <v>280</v>
      </c>
      <c r="J27" s="2"/>
      <c r="K27" s="2" t="s">
        <v>281</v>
      </c>
      <c r="L27" s="2" t="s">
        <v>282</v>
      </c>
      <c r="M27" s="2" t="s">
        <v>283</v>
      </c>
      <c r="N27" s="2" t="s">
        <v>284</v>
      </c>
      <c r="O27" s="2" t="n">
        <v>2</v>
      </c>
      <c r="P27" s="2" t="s">
        <v>49</v>
      </c>
      <c r="Q27" s="2"/>
      <c r="R27" s="2"/>
      <c r="S27" s="2" t="s">
        <v>49</v>
      </c>
      <c r="T27" s="2" t="s">
        <v>127</v>
      </c>
      <c r="U27" s="2" t="s">
        <v>49</v>
      </c>
      <c r="V27" s="2" t="s">
        <v>51</v>
      </c>
      <c r="W27" s="2" t="s">
        <v>52</v>
      </c>
      <c r="X27" s="2" t="n">
        <v>3</v>
      </c>
      <c r="Z27" s="2" t="s">
        <v>285</v>
      </c>
      <c r="AA27" s="2"/>
      <c r="AB27" s="2"/>
      <c r="AC27" s="2"/>
      <c r="AD27" s="2" t="s">
        <v>286</v>
      </c>
      <c r="AE27" s="2" t="s">
        <v>55</v>
      </c>
      <c r="AF27" s="2"/>
      <c r="AG27" s="2"/>
      <c r="AH27" s="2"/>
      <c r="AI27" s="2"/>
    </row>
    <row r="28" customFormat="false" ht="15" hidden="false" customHeight="false" outlineLevel="0" collapsed="false">
      <c r="A28" s="2" t="n">
        <v>8001505012385</v>
      </c>
      <c r="B28" s="2" t="n">
        <f aca="true">C28+ROUND(RAND()*100,0)</f>
        <v>57</v>
      </c>
      <c r="C28" s="2" t="s">
        <v>287</v>
      </c>
      <c r="D28" s="2" t="n">
        <v>22</v>
      </c>
      <c r="E28" s="2" t="n">
        <v>1</v>
      </c>
      <c r="F28" s="2" t="n">
        <v>48.42</v>
      </c>
      <c r="G28" s="2" t="n">
        <f aca="false">F28/1.45</f>
        <v>33.3931034482759</v>
      </c>
      <c r="H28" s="2" t="s">
        <v>43</v>
      </c>
      <c r="I28" s="2" t="s">
        <v>288</v>
      </c>
      <c r="J28" s="2"/>
      <c r="K28" s="2" t="s">
        <v>289</v>
      </c>
      <c r="L28" s="2" t="s">
        <v>290</v>
      </c>
      <c r="M28" s="2" t="s">
        <v>291</v>
      </c>
      <c r="N28" s="2" t="s">
        <v>292</v>
      </c>
      <c r="O28" s="2" t="n">
        <v>2</v>
      </c>
      <c r="P28" s="2" t="s">
        <v>49</v>
      </c>
      <c r="Q28" s="2"/>
      <c r="R28" s="2"/>
      <c r="S28" s="2" t="s">
        <v>49</v>
      </c>
      <c r="T28" s="2" t="s">
        <v>50</v>
      </c>
      <c r="U28" s="2" t="s">
        <v>49</v>
      </c>
      <c r="V28" s="2" t="s">
        <v>51</v>
      </c>
      <c r="W28" s="2" t="s">
        <v>52</v>
      </c>
      <c r="X28" s="2" t="n">
        <v>3</v>
      </c>
      <c r="Z28" s="2" t="s">
        <v>293</v>
      </c>
      <c r="AA28" s="2"/>
      <c r="AB28" s="2"/>
      <c r="AC28" s="2"/>
      <c r="AD28" s="2" t="s">
        <v>294</v>
      </c>
      <c r="AE28" s="2"/>
      <c r="AF28" s="2"/>
      <c r="AG28" s="2"/>
      <c r="AH28" s="2"/>
      <c r="AI28" s="2"/>
    </row>
    <row r="29" customFormat="false" ht="15" hidden="false" customHeight="false" outlineLevel="0" collapsed="false">
      <c r="A29" s="2" t="n">
        <v>5901234123451</v>
      </c>
      <c r="B29" s="2" t="n">
        <f aca="true">C29+ROUND(RAND()*100,0)</f>
        <v>167</v>
      </c>
      <c r="C29" s="2" t="s">
        <v>154</v>
      </c>
      <c r="D29" s="2" t="n">
        <v>35</v>
      </c>
      <c r="E29" s="2" t="n">
        <v>1</v>
      </c>
      <c r="F29" s="2" t="n">
        <v>81.23</v>
      </c>
      <c r="G29" s="2" t="n">
        <f aca="false">F29/1.45</f>
        <v>56.0206896551724</v>
      </c>
      <c r="H29" s="2" t="s">
        <v>43</v>
      </c>
      <c r="I29" s="2" t="s">
        <v>295</v>
      </c>
      <c r="J29" s="2"/>
      <c r="K29" s="2" t="s">
        <v>296</v>
      </c>
      <c r="L29" s="2" t="s">
        <v>297</v>
      </c>
      <c r="M29" s="2" t="s">
        <v>298</v>
      </c>
      <c r="N29" s="2" t="s">
        <v>299</v>
      </c>
      <c r="O29" s="2" t="n">
        <v>2</v>
      </c>
      <c r="P29" s="2" t="s">
        <v>49</v>
      </c>
      <c r="Q29" s="2"/>
      <c r="R29" s="2"/>
      <c r="S29" s="2" t="s">
        <v>49</v>
      </c>
      <c r="T29" s="2" t="s">
        <v>127</v>
      </c>
      <c r="U29" s="2" t="s">
        <v>49</v>
      </c>
      <c r="V29" s="2" t="s">
        <v>51</v>
      </c>
      <c r="W29" s="2" t="s">
        <v>52</v>
      </c>
      <c r="X29" s="2" t="n">
        <v>3</v>
      </c>
      <c r="Z29" s="2" t="s">
        <v>300</v>
      </c>
      <c r="AA29" s="2"/>
      <c r="AB29" s="2"/>
      <c r="AC29" s="2"/>
      <c r="AD29" s="2" t="s">
        <v>301</v>
      </c>
      <c r="AE29" s="2"/>
      <c r="AF29" s="2"/>
      <c r="AG29" s="2"/>
      <c r="AH29" s="2"/>
      <c r="AI29" s="2"/>
    </row>
    <row r="30" customFormat="false" ht="15" hidden="false" customHeight="false" outlineLevel="0" collapsed="false">
      <c r="A30" s="2" t="n">
        <v>1234567890126</v>
      </c>
      <c r="B30" s="2" t="n">
        <f aca="true">C30+ROUND(RAND()*100,0)</f>
        <v>106</v>
      </c>
      <c r="C30" s="2" t="s">
        <v>302</v>
      </c>
      <c r="D30" s="2" t="n">
        <v>13</v>
      </c>
      <c r="E30" s="2" t="n">
        <v>1</v>
      </c>
      <c r="F30" s="2" t="n">
        <v>71.71</v>
      </c>
      <c r="G30" s="2" t="n">
        <f aca="false">F30/1.45</f>
        <v>49.4551724137931</v>
      </c>
      <c r="H30" s="2" t="s">
        <v>43</v>
      </c>
      <c r="I30" s="2" t="s">
        <v>303</v>
      </c>
      <c r="J30" s="2"/>
      <c r="K30" s="2" t="s">
        <v>304</v>
      </c>
      <c r="L30" s="2" t="s">
        <v>305</v>
      </c>
      <c r="M30" s="2" t="s">
        <v>306</v>
      </c>
      <c r="N30" s="2" t="s">
        <v>307</v>
      </c>
      <c r="O30" s="2" t="n">
        <v>2</v>
      </c>
      <c r="P30" s="2" t="s">
        <v>49</v>
      </c>
      <c r="Q30" s="2"/>
      <c r="R30" s="2"/>
      <c r="S30" s="2" t="s">
        <v>49</v>
      </c>
      <c r="T30" s="2" t="s">
        <v>50</v>
      </c>
      <c r="U30" s="2" t="s">
        <v>52</v>
      </c>
      <c r="V30" s="2" t="s">
        <v>51</v>
      </c>
      <c r="W30" s="2" t="s">
        <v>52</v>
      </c>
      <c r="X30" s="2" t="n">
        <v>3</v>
      </c>
      <c r="Z30" s="2" t="s">
        <v>308</v>
      </c>
      <c r="AA30" s="2"/>
      <c r="AB30" s="2"/>
      <c r="AC30" s="2"/>
      <c r="AD30" s="2" t="s">
        <v>309</v>
      </c>
      <c r="AE30" s="2" t="s">
        <v>55</v>
      </c>
      <c r="AF30" s="2"/>
      <c r="AG30" s="2"/>
      <c r="AH30" s="2"/>
      <c r="AI30" s="2"/>
    </row>
    <row r="31" customFormat="false" ht="15" hidden="false" customHeight="false" outlineLevel="0" collapsed="false">
      <c r="A31" s="2" t="n">
        <v>4001234567892</v>
      </c>
      <c r="B31" s="2" t="n">
        <f aca="true">C31+ROUND(RAND()*100,0)</f>
        <v>115</v>
      </c>
      <c r="C31" s="2" t="s">
        <v>310</v>
      </c>
      <c r="D31" s="2" t="n">
        <v>48</v>
      </c>
      <c r="E31" s="2" t="n">
        <v>1</v>
      </c>
      <c r="F31" s="2" t="n">
        <v>28.17</v>
      </c>
      <c r="G31" s="2" t="n">
        <f aca="false">F31/1.45</f>
        <v>19.4275862068966</v>
      </c>
      <c r="H31" s="2" t="s">
        <v>43</v>
      </c>
      <c r="I31" s="2" t="s">
        <v>311</v>
      </c>
      <c r="J31" s="2"/>
      <c r="K31" s="2" t="s">
        <v>312</v>
      </c>
      <c r="L31" s="2" t="s">
        <v>313</v>
      </c>
      <c r="M31" s="2" t="s">
        <v>314</v>
      </c>
      <c r="N31" s="2" t="s">
        <v>315</v>
      </c>
      <c r="O31" s="2" t="n">
        <v>2</v>
      </c>
      <c r="P31" s="2" t="s">
        <v>52</v>
      </c>
      <c r="Q31" s="2"/>
      <c r="R31" s="2"/>
      <c r="S31" s="2" t="s">
        <v>52</v>
      </c>
      <c r="T31" s="2" t="s">
        <v>127</v>
      </c>
      <c r="U31" s="2" t="s">
        <v>52</v>
      </c>
      <c r="V31" s="2" t="s">
        <v>51</v>
      </c>
      <c r="W31" s="2" t="s">
        <v>49</v>
      </c>
      <c r="X31" s="2" t="n">
        <v>3</v>
      </c>
      <c r="Z31" s="2" t="s">
        <v>316</v>
      </c>
      <c r="AA31" s="2"/>
      <c r="AB31" s="2"/>
      <c r="AC31" s="2"/>
      <c r="AD31" s="2" t="s">
        <v>317</v>
      </c>
      <c r="AE31" s="2" t="s">
        <v>55</v>
      </c>
      <c r="AF31" s="2"/>
      <c r="AG31" s="2"/>
      <c r="AH31" s="2"/>
      <c r="AI3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1" sqref="AI:AI 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2" t="s">
        <v>318</v>
      </c>
    </row>
    <row r="2" customFormat="false" ht="15" hidden="false" customHeight="false" outlineLevel="0" collapsed="false">
      <c r="A2" s="2" t="s">
        <v>319</v>
      </c>
    </row>
    <row r="3" customFormat="false" ht="15" hidden="false" customHeight="false" outlineLevel="0" collapsed="false">
      <c r="A3" s="2" t="s">
        <v>320</v>
      </c>
    </row>
    <row r="4" customFormat="false" ht="15" hidden="false" customHeight="false" outlineLevel="0" collapsed="false">
      <c r="A4" s="2" t="s">
        <v>321</v>
      </c>
    </row>
    <row r="5" customFormat="false" ht="15" hidden="false" customHeight="false" outlineLevel="0" collapsed="false">
      <c r="A5" s="2" t="s">
        <v>322</v>
      </c>
    </row>
    <row r="6" customFormat="false" ht="15" hidden="false" customHeight="false" outlineLevel="0" collapsed="false">
      <c r="A6" s="2" t="s">
        <v>323</v>
      </c>
    </row>
    <row r="7" customFormat="false" ht="15" hidden="false" customHeight="false" outlineLevel="0" collapsed="false">
      <c r="A7" s="2" t="s">
        <v>324</v>
      </c>
    </row>
    <row r="8" customFormat="false" ht="15" hidden="false" customHeight="false" outlineLevel="0" collapsed="false">
      <c r="A8" s="2" t="s">
        <v>325</v>
      </c>
    </row>
    <row r="9" customFormat="false" ht="15" hidden="false" customHeight="false" outlineLevel="0" collapsed="false">
      <c r="A9" s="2" t="s">
        <v>0</v>
      </c>
    </row>
    <row r="10" customFormat="false" ht="15" hidden="false" customHeight="false" outlineLevel="0" collapsed="false">
      <c r="A10" s="2" t="s">
        <v>326</v>
      </c>
    </row>
    <row r="11" customFormat="false" ht="15" hidden="false" customHeight="false" outlineLevel="0" collapsed="false">
      <c r="A11" s="2" t="s">
        <v>327</v>
      </c>
    </row>
    <row r="12" customFormat="false" ht="15" hidden="false" customHeight="false" outlineLevel="0" collapsed="false">
      <c r="A12" s="2" t="s">
        <v>328</v>
      </c>
    </row>
    <row r="13" customFormat="false" ht="15" hidden="false" customHeight="false" outlineLevel="0" collapsed="false">
      <c r="A13" s="2" t="s">
        <v>329</v>
      </c>
    </row>
    <row r="14" customFormat="false" ht="15" hidden="false" customHeight="false" outlineLevel="0" collapsed="false">
      <c r="A14" s="2" t="s">
        <v>1</v>
      </c>
    </row>
    <row r="15" customFormat="false" ht="15" hidden="false" customHeight="false" outlineLevel="0" collapsed="false">
      <c r="A15" s="2" t="s">
        <v>2</v>
      </c>
    </row>
    <row r="16" customFormat="false" ht="15" hidden="false" customHeight="false" outlineLevel="0" collapsed="false">
      <c r="A16" s="2" t="s">
        <v>5</v>
      </c>
    </row>
    <row r="17" customFormat="false" ht="15" hidden="false" customHeight="false" outlineLevel="0" collapsed="false">
      <c r="A17" s="2" t="s">
        <v>6</v>
      </c>
    </row>
    <row r="18" customFormat="false" ht="15" hidden="false" customHeight="false" outlineLevel="0" collapsed="false">
      <c r="A18" s="2" t="s">
        <v>7</v>
      </c>
    </row>
    <row r="19" customFormat="false" ht="15" hidden="false" customHeight="false" outlineLevel="0" collapsed="false">
      <c r="A19" s="2" t="s">
        <v>330</v>
      </c>
    </row>
    <row r="20" customFormat="false" ht="15" hidden="false" customHeight="false" outlineLevel="0" collapsed="false">
      <c r="A20" s="2" t="s">
        <v>331</v>
      </c>
    </row>
    <row r="21" customFormat="false" ht="15" hidden="false" customHeight="false" outlineLevel="0" collapsed="false">
      <c r="A21" s="2" t="s">
        <v>8</v>
      </c>
    </row>
    <row r="22" customFormat="false" ht="15" hidden="false" customHeight="false" outlineLevel="0" collapsed="false">
      <c r="A22" s="2" t="s">
        <v>332</v>
      </c>
    </row>
    <row r="23" customFormat="false" ht="15" hidden="false" customHeight="false" outlineLevel="0" collapsed="false">
      <c r="A23" s="2" t="s">
        <v>9</v>
      </c>
    </row>
    <row r="24" customFormat="false" ht="15" hidden="false" customHeight="false" outlineLevel="0" collapsed="false">
      <c r="A24" s="2" t="s">
        <v>10</v>
      </c>
    </row>
    <row r="25" customFormat="false" ht="15" hidden="false" customHeight="false" outlineLevel="0" collapsed="false">
      <c r="A25" s="2" t="s">
        <v>11</v>
      </c>
    </row>
    <row r="26" customFormat="false" ht="15" hidden="false" customHeight="false" outlineLevel="0" collapsed="false">
      <c r="A26" s="2" t="s">
        <v>12</v>
      </c>
    </row>
    <row r="27" customFormat="false" ht="15" hidden="false" customHeight="false" outlineLevel="0" collapsed="false">
      <c r="A27" s="2" t="s">
        <v>13</v>
      </c>
    </row>
    <row r="28" customFormat="false" ht="15" hidden="false" customHeight="false" outlineLevel="0" collapsed="false">
      <c r="A28" s="2" t="s">
        <v>14</v>
      </c>
    </row>
    <row r="29" customFormat="false" ht="15" hidden="false" customHeight="false" outlineLevel="0" collapsed="false">
      <c r="A29" s="2" t="s">
        <v>333</v>
      </c>
    </row>
    <row r="30" customFormat="false" ht="15" hidden="false" customHeight="false" outlineLevel="0" collapsed="false">
      <c r="A30" s="2" t="s">
        <v>334</v>
      </c>
    </row>
    <row r="31" customFormat="false" ht="15" hidden="false" customHeight="false" outlineLevel="0" collapsed="false">
      <c r="A31" s="2" t="s">
        <v>335</v>
      </c>
    </row>
    <row r="32" customFormat="false" ht="15" hidden="false" customHeight="false" outlineLevel="0" collapsed="false">
      <c r="A32" s="2" t="s">
        <v>336</v>
      </c>
    </row>
    <row r="33" customFormat="false" ht="15" hidden="false" customHeight="false" outlineLevel="0" collapsed="false">
      <c r="A33" s="2" t="s">
        <v>15</v>
      </c>
    </row>
    <row r="34" customFormat="false" ht="15" hidden="false" customHeight="false" outlineLevel="0" collapsed="false">
      <c r="A34" s="2" t="s">
        <v>16</v>
      </c>
    </row>
    <row r="35" customFormat="false" ht="15" hidden="false" customHeight="false" outlineLevel="0" collapsed="false">
      <c r="A35" s="2" t="s">
        <v>18</v>
      </c>
    </row>
    <row r="36" customFormat="false" ht="15" hidden="false" customHeight="false" outlineLevel="0" collapsed="false">
      <c r="A36" s="2" t="s">
        <v>337</v>
      </c>
    </row>
    <row r="37" customFormat="false" ht="15" hidden="false" customHeight="false" outlineLevel="0" collapsed="false">
      <c r="A37" s="2" t="s">
        <v>19</v>
      </c>
    </row>
    <row r="38" customFormat="false" ht="15" hidden="false" customHeight="false" outlineLevel="0" collapsed="false">
      <c r="A38" s="2" t="s">
        <v>20</v>
      </c>
    </row>
    <row r="39" customFormat="false" ht="15" hidden="false" customHeight="false" outlineLevel="0" collapsed="false">
      <c r="A39" s="2" t="s">
        <v>338</v>
      </c>
    </row>
    <row r="40" customFormat="false" ht="15" hidden="false" customHeight="false" outlineLevel="0" collapsed="false">
      <c r="A40" s="2" t="s">
        <v>21</v>
      </c>
    </row>
    <row r="41" customFormat="false" ht="15" hidden="false" customHeight="false" outlineLevel="0" collapsed="false">
      <c r="A41" s="2" t="s">
        <v>339</v>
      </c>
    </row>
    <row r="42" customFormat="false" ht="15" hidden="false" customHeight="false" outlineLevel="0" collapsed="false">
      <c r="A42" s="2" t="s">
        <v>22</v>
      </c>
    </row>
    <row r="43" customFormat="false" ht="15" hidden="false" customHeight="false" outlineLevel="0" collapsed="false">
      <c r="A43" s="2" t="s">
        <v>340</v>
      </c>
    </row>
    <row r="44" customFormat="false" ht="15" hidden="false" customHeight="false" outlineLevel="0" collapsed="false">
      <c r="A44" s="2" t="s">
        <v>341</v>
      </c>
    </row>
    <row r="45" customFormat="false" ht="15" hidden="false" customHeight="false" outlineLevel="0" collapsed="false">
      <c r="A45" s="2" t="s">
        <v>23</v>
      </c>
    </row>
    <row r="46" customFormat="false" ht="15" hidden="false" customHeight="false" outlineLevel="0" collapsed="false">
      <c r="A46" s="2" t="s">
        <v>342</v>
      </c>
    </row>
    <row r="47" customFormat="false" ht="15" hidden="false" customHeight="false" outlineLevel="0" collapsed="false">
      <c r="A47" s="2" t="s">
        <v>343</v>
      </c>
    </row>
    <row r="48" customFormat="false" ht="15" hidden="false" customHeight="false" outlineLevel="0" collapsed="false">
      <c r="A48" s="2" t="s">
        <v>344</v>
      </c>
    </row>
    <row r="49" customFormat="false" ht="15" hidden="false" customHeight="false" outlineLevel="0" collapsed="false">
      <c r="A49" s="2" t="s">
        <v>24</v>
      </c>
    </row>
    <row r="50" customFormat="false" ht="15" hidden="false" customHeight="false" outlineLevel="0" collapsed="false">
      <c r="A50" s="2" t="s">
        <v>25</v>
      </c>
    </row>
    <row r="51" customFormat="false" ht="15" hidden="false" customHeight="false" outlineLevel="0" collapsed="false">
      <c r="A51" s="2" t="s">
        <v>345</v>
      </c>
    </row>
    <row r="52" customFormat="false" ht="15" hidden="false" customHeight="false" outlineLevel="0" collapsed="false">
      <c r="A52" s="2" t="s">
        <v>26</v>
      </c>
    </row>
    <row r="53" customFormat="false" ht="15" hidden="false" customHeight="false" outlineLevel="0" collapsed="false">
      <c r="A53" s="2" t="s">
        <v>27</v>
      </c>
    </row>
    <row r="54" customFormat="false" ht="15" hidden="false" customHeight="false" outlineLevel="0" collapsed="false">
      <c r="A54" s="2" t="s">
        <v>28</v>
      </c>
    </row>
    <row r="55" customFormat="false" ht="15" hidden="false" customHeight="false" outlineLevel="0" collapsed="false">
      <c r="A55" s="2" t="s">
        <v>29</v>
      </c>
    </row>
    <row r="56" customFormat="false" ht="15" hidden="false" customHeight="false" outlineLevel="0" collapsed="false">
      <c r="A56" s="2" t="s">
        <v>31</v>
      </c>
    </row>
    <row r="57" customFormat="false" ht="15" hidden="false" customHeight="false" outlineLevel="0" collapsed="false">
      <c r="A57" s="2" t="s">
        <v>32</v>
      </c>
    </row>
    <row r="58" customFormat="false" ht="15" hidden="false" customHeight="false" outlineLevel="0" collapsed="false">
      <c r="A58" s="2" t="s">
        <v>33</v>
      </c>
    </row>
    <row r="59" customFormat="false" ht="15" hidden="false" customHeight="false" outlineLevel="0" collapsed="false">
      <c r="A59" s="2" t="s">
        <v>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2026-03-16T11:35:07Z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