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otti" sheetId="1" state="visible" r:id="rId3"/>
    <sheet name="Foglio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<sst xmlns="http://schemas.openxmlformats.org/spreadsheetml/2006/main" count="1018" uniqueCount="509">
  <si>
    <t xml:space="preserve">id_product</t>
  </si>
  <si>
    <t xml:space="preserve">id_supplier</t>
  </si>
  <si>
    <t xml:space="preserve">id_manufacturer</t>
  </si>
  <si>
    <t xml:space="preserve">id_category_default</t>
  </si>
  <si>
    <t xml:space="preserve">id_shop_default</t>
  </si>
  <si>
    <t xml:space="preserve">id_tax_rules_group</t>
  </si>
  <si>
    <t xml:space="preserve">on_sale</t>
  </si>
  <si>
    <t xml:space="preserve">online_only</t>
  </si>
  <si>
    <t xml:space="preserve">ean13</t>
  </si>
  <si>
    <t xml:space="preserve">isbn</t>
  </si>
  <si>
    <t xml:space="preserve">upc</t>
  </si>
  <si>
    <t xml:space="preserve">mpn</t>
  </si>
  <si>
    <t xml:space="preserve">ecotax</t>
  </si>
  <si>
    <t xml:space="preserve">quantity</t>
  </si>
  <si>
    <t xml:space="preserve">minimal_quantity</t>
  </si>
  <si>
    <t xml:space="preserve">low_stock_threshold</t>
  </si>
  <si>
    <t xml:space="preserve">low_stock_alert</t>
  </si>
  <si>
    <t xml:space="preserve">price</t>
  </si>
  <si>
    <t xml:space="preserve">wholesale_price</t>
  </si>
  <si>
    <t xml:space="preserve">unity</t>
  </si>
  <si>
    <t xml:space="preserve">unit_price</t>
  </si>
  <si>
    <t xml:space="preserve">unit_price_ratio</t>
  </si>
  <si>
    <t xml:space="preserve">additional_shipping_cost</t>
  </si>
  <si>
    <t xml:space="preserve">reference</t>
  </si>
  <si>
    <t xml:space="preserve">supplier_reference</t>
  </si>
  <si>
    <t xml:space="preserve">location</t>
  </si>
  <si>
    <t xml:space="preserve">width</t>
  </si>
  <si>
    <t xml:space="preserve">height</t>
  </si>
  <si>
    <t xml:space="preserve">depth</t>
  </si>
  <si>
    <t xml:space="preserve">weight</t>
  </si>
  <si>
    <t xml:space="preserve">out_of_stock</t>
  </si>
  <si>
    <t xml:space="preserve">additional_delivery_times</t>
  </si>
  <si>
    <t xml:space="preserve">quantity_discount</t>
  </si>
  <si>
    <t xml:space="preserve">customizable</t>
  </si>
  <si>
    <t xml:space="preserve">uploadable_files</t>
  </si>
  <si>
    <t xml:space="preserve">text_fields</t>
  </si>
  <si>
    <t xml:space="preserve">active</t>
  </si>
  <si>
    <t xml:space="preserve">redirect_type</t>
  </si>
  <si>
    <t xml:space="preserve">id_type_redirected</t>
  </si>
  <si>
    <t xml:space="preserve">available_for_order</t>
  </si>
  <si>
    <t xml:space="preserve">available_date</t>
  </si>
  <si>
    <t xml:space="preserve">condition</t>
  </si>
  <si>
    <t xml:space="preserve">show_price</t>
  </si>
  <si>
    <t xml:space="preserve">indexed</t>
  </si>
  <si>
    <t xml:space="preserve">visibility</t>
  </si>
  <si>
    <t xml:space="preserve">cache_is_pack</t>
  </si>
  <si>
    <t xml:space="preserve">cache_has_attachments</t>
  </si>
  <si>
    <t xml:space="preserve">is_virtual</t>
  </si>
  <si>
    <t xml:space="preserve">cache_default_attribute</t>
  </si>
  <si>
    <t xml:space="preserve">advanced_stock_management</t>
  </si>
  <si>
    <t xml:space="preserve">date_add</t>
  </si>
  <si>
    <t xml:space="preserve">date_upd</t>
  </si>
  <si>
    <t xml:space="preserve">pack_stock_type</t>
  </si>
  <si>
    <t xml:space="preserve">state</t>
  </si>
  <si>
    <t xml:space="preserve">id_shop_list</t>
  </si>
  <si>
    <t xml:space="preserve">description</t>
  </si>
  <si>
    <t xml:space="preserve">description_short</t>
  </si>
  <si>
    <t xml:space="preserve">link_rewrite</t>
  </si>
  <si>
    <t xml:space="preserve">meta_description</t>
  </si>
  <si>
    <t xml:space="preserve">meta_keywords</t>
  </si>
  <si>
    <t xml:space="preserve">meta_title</t>
  </si>
  <si>
    <t xml:space="preserve">name</t>
  </si>
  <si>
    <t xml:space="preserve">product_type</t>
  </si>
  <si>
    <t xml:space="preserve">available_now</t>
  </si>
  <si>
    <t xml:space="preserve">available_later</t>
  </si>
  <si>
    <t xml:space="preserve">delivery_in_stock</t>
  </si>
  <si>
    <t xml:space="preserve">delivery_out_stock</t>
  </si>
  <si>
    <t xml:space="preserve">IMAGE</t>
  </si>
  <si>
    <t xml:space="preserve">VESTIBILITÀ</t>
  </si>
  <si>
    <t xml:space="preserve">CATEGORIES</t>
  </si>
  <si>
    <t xml:space="preserve">F:MODELLO MANICA</t>
  </si>
  <si>
    <t xml:space="preserve">F:FANTASIA TESSUTO</t>
  </si>
  <si>
    <t xml:space="preserve">A:TAGLIA</t>
  </si>
  <si>
    <t xml:space="preserve">A:COLORE</t>
  </si>
  <si>
    <t xml:space="preserve">0</t>
  </si>
  <si>
    <t xml:space="preserve">012345678905</t>
  </si>
  <si>
    <t xml:space="preserve">ABC123XYZ</t>
  </si>
  <si>
    <t xml:space="preserve">29.81</t>
  </si>
  <si>
    <t xml:space="preserve">66</t>
  </si>
  <si>
    <t xml:space="preserve">67</t>
  </si>
  <si>
    <t xml:space="preserve">pz</t>
  </si>
  <si>
    <t xml:space="preserve">45.66</t>
  </si>
  <si>
    <t xml:space="preserve">PRD-2025-0001-XYZ-789</t>
  </si>
  <si>
    <t xml:space="preserve">3.95</t>
  </si>
  <si>
    <t xml:space="preserve">82.55</t>
  </si>
  <si>
    <t xml:space="preserve">11.4</t>
  </si>
  <si>
    <t xml:space="preserve">55.65</t>
  </si>
  <si>
    <t xml:space="preserve">1</t>
  </si>
  <si>
    <t xml:space="preserve">2024-10-16</t>
  </si>
  <si>
    <t xml:space="preserve">new</t>
  </si>
  <si>
    <t xml:space="preserve">both</t>
  </si>
  <si>
    <t xml:space="preserve">23</t>
  </si>
  <si>
    <t xml:space="preserve">2024-10-16 15:37:50</t>
  </si>
  <si>
    <t xml:space="preserve">Prodotto versatile e affidabile per uso professionale. Realizzato con materiali di alta qualità, garantisce prestazioni ottimali e lunga durata. Ideale per applicazioni industriali e domestiche.</t>
  </si>
  <si>
    <t xml:space="preserve">1. Prodotto Generico XYZ 2025 - Modello 789</t>
  </si>
  <si>
    <t xml:space="preserve">combinations</t>
  </si>
  <si>
    <t xml:space="preserve"> https://picsum.photos/600/600?random=1| https://picsum.photos/600/600?random=1| https://picsum.photos/600/600?random=1</t>
  </si>
  <si>
    <t xml:space="preserve">Taglia regolabile</t>
  </si>
  <si>
    <t xml:space="preserve">Pantaloni|Giacche|Ristorazione</t>
  </si>
  <si>
    <t xml:space="preserve">LUNGA</t>
  </si>
  <si>
    <t xml:space="preserve">PIZZO</t>
  </si>
  <si>
    <t xml:space="preserve">XXL</t>
  </si>
  <si>
    <t xml:space="preserve">BIANCO</t>
  </si>
  <si>
    <t xml:space="preserve">123456789012</t>
  </si>
  <si>
    <t xml:space="preserve">DEF456UVW</t>
  </si>
  <si>
    <t xml:space="preserve">82.3</t>
  </si>
  <si>
    <t xml:space="preserve">70</t>
  </si>
  <si>
    <t xml:space="preserve">69</t>
  </si>
  <si>
    <t xml:space="preserve">90.41</t>
  </si>
  <si>
    <t xml:space="preserve">ART-BLACK-FRIDAY-24</t>
  </si>
  <si>
    <t xml:space="preserve">93.42</t>
  </si>
  <si>
    <t xml:space="preserve">38.52</t>
  </si>
  <si>
    <t xml:space="preserve">44.16</t>
  </si>
  <si>
    <t xml:space="preserve">27.17</t>
  </si>
  <si>
    <t xml:space="preserve">4</t>
  </si>
  <si>
    <t xml:space="preserve">Edizione limitata in offerta speciale. Design accattivante e funzionalità essenziali per sfruttare al meglio le tue occasioni d'acquisto. Non perdere questa opportunità!</t>
  </si>
  <si>
    <t xml:space="preserve">2. Articolo Promozionale Black Friday 2024</t>
  </si>
  <si>
    <t xml:space="preserve"> https://picsum.photos/600/600?random=1 </t>
  </si>
  <si>
    <t xml:space="preserve">Scarpe|Lavoro</t>
  </si>
  <si>
    <t xml:space="preserve">CORTA</t>
  </si>
  <si>
    <t xml:space="preserve">L</t>
  </si>
  <si>
    <t xml:space="preserve">987654321098</t>
  </si>
  <si>
    <t xml:space="preserve">GHI789RST</t>
  </si>
  <si>
    <t xml:space="preserve">97.4</t>
  </si>
  <si>
    <t xml:space="preserve">40</t>
  </si>
  <si>
    <t xml:space="preserve">22</t>
  </si>
  <si>
    <t xml:space="preserve">68.8</t>
  </si>
  <si>
    <t xml:space="preserve">WIDGET-PRO-MAX-2000</t>
  </si>
  <si>
    <t xml:space="preserve">53.75</t>
  </si>
  <si>
    <t xml:space="preserve">8.31</t>
  </si>
  <si>
    <t xml:space="preserve">52.25</t>
  </si>
  <si>
    <t xml:space="preserve">7.52</t>
  </si>
  <si>
    <t xml:space="preserve">54</t>
  </si>
  <si>
    <t xml:space="preserve">Strumento professionale di ultima generazione con funzionalità avanzate. Display intuitivo, materiali resistenti e prestazioni superiori per risultati impeccabili in ogni situazione.</t>
  </si>
  <si>
    <t xml:space="preserve">3. Widget Professionale Max 2000</t>
  </si>
  <si>
    <t xml:space="preserve">16|38|171</t>
  </si>
  <si>
    <t xml:space="preserve">S</t>
  </si>
  <si>
    <t xml:space="preserve">ROSSO</t>
  </si>
  <si>
    <t xml:space="preserve">036000291452</t>
  </si>
  <si>
    <t xml:space="preserve">JKL012MNO</t>
  </si>
  <si>
    <t xml:space="preserve">45.27</t>
  </si>
  <si>
    <t xml:space="preserve">64</t>
  </si>
  <si>
    <t xml:space="preserve">86</t>
  </si>
  <si>
    <t xml:space="preserve">100.3</t>
  </si>
  <si>
    <t xml:space="preserve">ACC-98765-USB-C-BLK</t>
  </si>
  <si>
    <t xml:space="preserve">53.14</t>
  </si>
  <si>
    <t xml:space="preserve">26.69</t>
  </si>
  <si>
    <t xml:space="preserve">54.74</t>
  </si>
  <si>
    <t xml:space="preserve">84.71</t>
  </si>
  <si>
    <t xml:space="preserve">9</t>
  </si>
  <si>
    <t xml:space="preserve">Cavo USB-C ad alta velocità con supporto ricarica rapida e trasferimento dati fino a 480Mbps. Lunghezza 2 metri, compatibile con tutti i dispositivi USB-C. Rivestimento intrecciato anti-rottura.</t>
  </si>
  <si>
    <t xml:space="preserve">4. Cavo USB-C universale nero 2m</t>
  </si>
  <si>
    <t xml:space="preserve"> https://picsum.photos/600/600?random=1| https://picsum.photos/600/600?random=1 </t>
  </si>
  <si>
    <t xml:space="preserve">Slim</t>
  </si>
  <si>
    <t xml:space="preserve">Pizzeria&gt;Giacche</t>
  </si>
  <si>
    <t xml:space="preserve">ASTRATTA</t>
  </si>
  <si>
    <t xml:space="preserve">XL</t>
  </si>
  <si>
    <t xml:space="preserve">041234567890</t>
  </si>
  <si>
    <t xml:space="preserve">PQR345STU</t>
  </si>
  <si>
    <t xml:space="preserve">24.43</t>
  </si>
  <si>
    <t xml:space="preserve">46</t>
  </si>
  <si>
    <t xml:space="preserve">75</t>
  </si>
  <si>
    <t xml:space="preserve">25.72</t>
  </si>
  <si>
    <t xml:space="preserve">CABLE-TYPE-C-2M-RED</t>
  </si>
  <si>
    <t xml:space="preserve">99.33</t>
  </si>
  <si>
    <t xml:space="preserve">2.49</t>
  </si>
  <si>
    <t xml:space="preserve">3.86</t>
  </si>
  <si>
    <t xml:space="preserve">11.57</t>
  </si>
  <si>
    <t xml:space="preserve">Cavo resistente e flessibile con connettori placcati oro per miglior contatto. Supporta ricarica fino a 3A e sincronizzazione dati. Colore rosso brillante per distinguerlo facilmente.</t>
  </si>
  <si>
    <t xml:space="preserve">5. Cavo USB Type-C 2 metri - Rosso</t>
  </si>
  <si>
    <t xml:space="preserve">SENZA MANICA</t>
  </si>
  <si>
    <t xml:space="preserve">071234567891</t>
  </si>
  <si>
    <t xml:space="preserve">VWX678YZA</t>
  </si>
  <si>
    <t xml:space="preserve">54.31</t>
  </si>
  <si>
    <t xml:space="preserve">87</t>
  </si>
  <si>
    <t xml:space="preserve">42.28</t>
  </si>
  <si>
    <t xml:space="preserve">BATTERY-LI-ION-18650</t>
  </si>
  <si>
    <t xml:space="preserve">#B7#C5#D29A</t>
  </si>
  <si>
    <t xml:space="preserve">33.14</t>
  </si>
  <si>
    <t xml:space="preserve">61.29</t>
  </si>
  <si>
    <t xml:space="preserve">77.5</t>
  </si>
  <si>
    <t xml:space="preserve">85.29</t>
  </si>
  <si>
    <t xml:space="preserve">6</t>
  </si>
  <si>
    <t xml:space="preserve">Batteria al litio ad alta capacità 3000mAh con protezione da sovrascarica e cortocircuito. Oltre 500 cicli di ricarica. Ideale per torce, power bank e dispositivi elettronici.</t>
  </si>
  <si>
    <t xml:space="preserve">6. Batteria Ricaricabile Li-Ion 18650 3000mAh</t>
  </si>
  <si>
    <t xml:space="preserve"> https://picsum.photos/600/600?random=1 | https://picsum.photos/600/600?random=1 </t>
  </si>
  <si>
    <t xml:space="preserve">Normal</t>
  </si>
  <si>
    <t xml:space="preserve">ROMBI</t>
  </si>
  <si>
    <t xml:space="preserve">M</t>
  </si>
  <si>
    <t xml:space="preserve">GIALLO</t>
  </si>
  <si>
    <t xml:space="preserve">085678901234</t>
  </si>
  <si>
    <t xml:space="preserve">BCD901EFG</t>
  </si>
  <si>
    <t xml:space="preserve">4.46</t>
  </si>
  <si>
    <t xml:space="preserve">62</t>
  </si>
  <si>
    <t xml:space="preserve">65</t>
  </si>
  <si>
    <t xml:space="preserve">81.89</t>
  </si>
  <si>
    <t xml:space="preserve">SCREEN-7INCH-IPS-HDMI</t>
  </si>
  <si>
    <t xml:space="preserve">34.37</t>
  </si>
  <si>
    <t xml:space="preserve">80.47</t>
  </si>
  <si>
    <t xml:space="preserve">52.16</t>
  </si>
  <si>
    <t xml:space="preserve">26.19</t>
  </si>
  <si>
    <t xml:space="preserve">refurbished</t>
  </si>
  <si>
    <t xml:space="preserve">94</t>
  </si>
  <si>
    <t xml:space="preserve">Monitor LCD 7" con tecnologia IPS per angoli di visione fino a 178°. Risoluzione 1024x600, ingresso HDMI e alimentazione USB. Perfetto per Raspberry Pi, PC e sistemi embedded.</t>
  </si>
  <si>
    <t xml:space="preserve">7. Display LCD 7 pollici IPS HDMI</t>
  </si>
  <si>
    <t xml:space="preserve">098765432109</t>
  </si>
  <si>
    <t xml:space="preserve">HIJ234KLM</t>
  </si>
  <si>
    <t xml:space="preserve">51.48</t>
  </si>
  <si>
    <t xml:space="preserve">24</t>
  </si>
  <si>
    <t xml:space="preserve">38.63</t>
  </si>
  <si>
    <t xml:space="preserve">MOTOR-12V-DC-3000RPM</t>
  </si>
  <si>
    <t xml:space="preserve">30.28</t>
  </si>
  <si>
    <t xml:space="preserve">71.2</t>
  </si>
  <si>
    <t xml:space="preserve">68.94</t>
  </si>
  <si>
    <t xml:space="preserve">59.27</t>
  </si>
  <si>
    <t xml:space="preserve">Motore elettrico DC 12V con velocità di 3000 RPM e encoder integrato per controllo preciso di posizione e velocità. Ideale per robotica, CNC e automazione industriale.</t>
  </si>
  <si>
    <t xml:space="preserve">8. Motore DC 12V 3000 RPM con encoder</t>
  </si>
  <si>
    <t xml:space="preserve">112233445566</t>
  </si>
  <si>
    <t xml:space="preserve">NOP567QRS</t>
  </si>
  <si>
    <t xml:space="preserve">65.6</t>
  </si>
  <si>
    <t xml:space="preserve">39</t>
  </si>
  <si>
    <t xml:space="preserve">44</t>
  </si>
  <si>
    <t xml:space="preserve">41.72</t>
  </si>
  <si>
    <t xml:space="preserve">SENSOR-TEMP-HUM-DHT22</t>
  </si>
  <si>
    <t xml:space="preserve">24.36</t>
  </si>
  <si>
    <t xml:space="preserve">2.28</t>
  </si>
  <si>
    <t xml:space="preserve">41.93</t>
  </si>
  <si>
    <t xml:space="preserve">99.43</t>
  </si>
  <si>
    <t xml:space="preserve">Sensore digitale di temperatura e umidità con precisione ±0.5°C e ±2% RH. Interfaccia a singolo filo, campo di misura -40°C a 80°C. Perfetto per stazioni meteo e domotica.</t>
  </si>
  <si>
    <t xml:space="preserve">9. Sensore Temperatura e Umidità DHT22</t>
  </si>
  <si>
    <t xml:space="preserve">123450678905</t>
  </si>
  <si>
    <t xml:space="preserve">TUV890WXY</t>
  </si>
  <si>
    <t xml:space="preserve">45.7</t>
  </si>
  <si>
    <t xml:space="preserve">3</t>
  </si>
  <si>
    <t xml:space="preserve">92</t>
  </si>
  <si>
    <t xml:space="preserve">43.59</t>
  </si>
  <si>
    <t xml:space="preserve">ADAPTER-USB-C-HDMI-4K</t>
  </si>
  <si>
    <t xml:space="preserve">21.41</t>
  </si>
  <si>
    <t xml:space="preserve">33.28</t>
  </si>
  <si>
    <t xml:space="preserve">32.6</t>
  </si>
  <si>
    <t xml:space="preserve">72.64</t>
  </si>
  <si>
    <t xml:space="preserve">90</t>
  </si>
  <si>
    <t xml:space="preserve">Adattatore compatto che converte USB-C in HDMI con supporto risoluzione 4K a 30Hz. Plug &amp; play, compatibile con laptop, smartphone e tablet con porta USB-C. Ideale per presentazioni e streaming.</t>
  </si>
  <si>
    <t xml:space="preserve">10. Adattatore USB-C to HDMI 4K Ultra HD</t>
  </si>
  <si>
    <t xml:space="preserve">234567890123</t>
  </si>
  <si>
    <t xml:space="preserve">ZAB123CDE</t>
  </si>
  <si>
    <t xml:space="preserve">61.22</t>
  </si>
  <si>
    <t xml:space="preserve">98.18</t>
  </si>
  <si>
    <t xml:space="preserve">MODULE-WIFI-ESP32-S3</t>
  </si>
  <si>
    <t xml:space="preserve">3.4</t>
  </si>
  <si>
    <t xml:space="preserve">37.35</t>
  </si>
  <si>
    <t xml:space="preserve">39.45</t>
  </si>
  <si>
    <t xml:space="preserve">2.46</t>
  </si>
  <si>
    <t xml:space="preserve">Modulo di sviluppo con chip ESP32-S3 dual-core, WiFi 2.4GHz e Bluetooth 5.0. 16MB di flash, supporto AI e machine learning. Perfetto per progetti IoT avanzati e dispositivi smart.</t>
  </si>
  <si>
    <t xml:space="preserve">11. Modulo WiFi Bluetooth ESP32-S3</t>
  </si>
  <si>
    <t xml:space="preserve">345678901234</t>
  </si>
  <si>
    <t xml:space="preserve">FGH456IJK</t>
  </si>
  <si>
    <t xml:space="preserve">46.23</t>
  </si>
  <si>
    <t xml:space="preserve">98</t>
  </si>
  <si>
    <t xml:space="preserve">63</t>
  </si>
  <si>
    <t xml:space="preserve">83.72</t>
  </si>
  <si>
    <t xml:space="preserve">TOOL-SCREWDRIVER-PH2</t>
  </si>
  <si>
    <t xml:space="preserve">27.52</t>
  </si>
  <si>
    <t xml:space="preserve">69.57</t>
  </si>
  <si>
    <t xml:space="preserve">96.96</t>
  </si>
  <si>
    <t xml:space="preserve">51.26</t>
  </si>
  <si>
    <t xml:space="preserve">72</t>
  </si>
  <si>
    <t xml:space="preserve">Cacciavite di precisione con punta Phillips PH2 in acciaio cromato-vanadio. Impugnatura ergonomica antiscivolo per massimo controllo. Ideale per elettronica, occhiali e piccole riparazioni.</t>
  </si>
  <si>
    <t xml:space="preserve">12. Cacciavite di precisione Phillips PH2</t>
  </si>
  <si>
    <t xml:space="preserve">456789012345</t>
  </si>
  <si>
    <t xml:space="preserve">LMN789OPQ</t>
  </si>
  <si>
    <t xml:space="preserve">54.42</t>
  </si>
  <si>
    <t xml:space="preserve">50</t>
  </si>
  <si>
    <t xml:space="preserve">73</t>
  </si>
  <si>
    <t xml:space="preserve">90.36</t>
  </si>
  <si>
    <t xml:space="preserve">KIT-ARDUINO-UNO-R3</t>
  </si>
  <si>
    <t xml:space="preserve">82.74</t>
  </si>
  <si>
    <t xml:space="preserve">59.45</t>
  </si>
  <si>
    <t xml:space="preserve">91.95</t>
  </si>
  <si>
    <t xml:space="preserve">64.69</t>
  </si>
  <si>
    <t xml:space="preserve">5</t>
  </si>
  <si>
    <t xml:space="preserve">Kit completo per iniziare con Arduino UNO R3 originale. Include scheda, breadboard, sensori, LED, resistenze, cavi e manuale con 15 progetti guidati. Perfetto per maker e principianti.</t>
  </si>
  <si>
    <t xml:space="preserve">13. Kit Starter Arduino UNO R3 completo</t>
  </si>
  <si>
    <t xml:space="preserve">567890123456</t>
  </si>
  <si>
    <t xml:space="preserve">RST012UVW</t>
  </si>
  <si>
    <t xml:space="preserve">69.23</t>
  </si>
  <si>
    <t xml:space="preserve">35</t>
  </si>
  <si>
    <t xml:space="preserve">70.16</t>
  </si>
  <si>
    <t xml:space="preserve">ROBOT-ARM-6DOF-METAL</t>
  </si>
  <si>
    <t xml:space="preserve">33.62</t>
  </si>
  <si>
    <t xml:space="preserve">1.31</t>
  </si>
  <si>
    <t xml:space="preserve">8.8</t>
  </si>
  <si>
    <t xml:space="preserve">60.33</t>
  </si>
  <si>
    <t xml:space="preserve">used</t>
  </si>
  <si>
    <t xml:space="preserve">catalog</t>
  </si>
  <si>
    <t xml:space="preserve">85</t>
  </si>
  <si>
    <t xml:space="preserve">Braccio robotico professionale con 6 gradi di libertà (DOF), interamente in metallo. Controllo preciso con servomotori digitali, apertura 320mm. Ideale per educazione robotica e automazione.</t>
  </si>
  <si>
    <t xml:space="preserve">14. Braccio Robotico 6 DOF in metallo</t>
  </si>
  <si>
    <t xml:space="preserve">678901234567</t>
  </si>
  <si>
    <t xml:space="preserve">XYZ345ABC</t>
  </si>
  <si>
    <t xml:space="preserve">25.4</t>
  </si>
  <si>
    <t xml:space="preserve">76</t>
  </si>
  <si>
    <t xml:space="preserve">37.2</t>
  </si>
  <si>
    <t xml:space="preserve">PSU-12V-10A-120W-MET</t>
  </si>
  <si>
    <t xml:space="preserve">3.8</t>
  </si>
  <si>
    <t xml:space="preserve">78.97</t>
  </si>
  <si>
    <t xml:space="preserve">95.47</t>
  </si>
  <si>
    <t xml:space="preserve">85.31</t>
  </si>
  <si>
    <t xml:space="preserve">34</t>
  </si>
  <si>
    <t xml:space="preserve">Alimentatore switching professionale 12V 10A con potenza 120W. Ingresso universale 110-240V, protezioni da sovraccarico e cortocircuito. Ideale per strisce LED, telecamere e dispositivi industriali.</t>
  </si>
  <si>
    <t xml:space="preserve">15. Alimentatore switching 12V 10A 120W</t>
  </si>
  <si>
    <t xml:space="preserve">789012345678</t>
  </si>
  <si>
    <t xml:space="preserve">CDE678FGH</t>
  </si>
  <si>
    <t xml:space="preserve">34.84</t>
  </si>
  <si>
    <t xml:space="preserve">18</t>
  </si>
  <si>
    <t xml:space="preserve">28.31</t>
  </si>
  <si>
    <t xml:space="preserve">FAN-120MM-PWM-RGB-BK</t>
  </si>
  <si>
    <t xml:space="preserve">#B7#C5#D29B</t>
  </si>
  <si>
    <t xml:space="preserve">6.34</t>
  </si>
  <si>
    <t xml:space="preserve">88.9</t>
  </si>
  <si>
    <t xml:space="preserve">50.85</t>
  </si>
  <si>
    <t xml:space="preserve">6.78</t>
  </si>
  <si>
    <t xml:space="preserve">79</t>
  </si>
  <si>
    <t xml:space="preserve">Ventola per PC 120mm con controllo PWM per gestione intelligente della velocità. Illuminazione RGB personalizzabile, cuscinetti idraulici per silenziosità, flusso d'aria 45 CFM.</t>
  </si>
  <si>
    <t xml:space="preserve">16. Ventola PC 120mm PWM RGB Black</t>
  </si>
  <si>
    <t xml:space="preserve">890123456789</t>
  </si>
  <si>
    <t xml:space="preserve">IJK901LMN</t>
  </si>
  <si>
    <t xml:space="preserve">28.12</t>
  </si>
  <si>
    <t xml:space="preserve">19</t>
  </si>
  <si>
    <t xml:space="preserve">41</t>
  </si>
  <si>
    <t xml:space="preserve">94.31</t>
  </si>
  <si>
    <t xml:space="preserve">ENCLOSURE-ABS-BLK-3U</t>
  </si>
  <si>
    <t xml:space="preserve">9.7</t>
  </si>
  <si>
    <t xml:space="preserve">40.88</t>
  </si>
  <si>
    <t xml:space="preserve">46.19</t>
  </si>
  <si>
    <t xml:space="preserve">54.28</t>
  </si>
  <si>
    <t xml:space="preserve">Contenitore professionale in ABS nero per rack 3U. Dimensioni standard per apparecchiature audio/video e networking. Pannelli rimovibili, facile montaggio, include viti e piedini.</t>
  </si>
  <si>
    <t xml:space="preserve">17. Contenitore ABS nero 3U per rack</t>
  </si>
  <si>
    <t xml:space="preserve">901234567890</t>
  </si>
  <si>
    <t xml:space="preserve">OPQ234RST</t>
  </si>
  <si>
    <t xml:space="preserve">56.87</t>
  </si>
  <si>
    <t xml:space="preserve">97</t>
  </si>
  <si>
    <t xml:space="preserve">99</t>
  </si>
  <si>
    <t xml:space="preserve">42.6</t>
  </si>
  <si>
    <t xml:space="preserve">CABLE-RIBBON-40PIN-30</t>
  </si>
  <si>
    <t xml:space="preserve">88.33</t>
  </si>
  <si>
    <t xml:space="preserve">48.79</t>
  </si>
  <si>
    <t xml:space="preserve">93.92</t>
  </si>
  <si>
    <t xml:space="preserve">54.81</t>
  </si>
  <si>
    <t xml:space="preserve">Cavo piatto a nastro 40 pin con passo 2.54mm, lunghezza 30cm. Ideale per collegamenti IDE, progetti elettronici e connessioni tra schede di sviluppo. Connettori IDC inclusi.</t>
  </si>
  <si>
    <t xml:space="preserve">18. Cavo piatto 40 pin 30cm per IDE</t>
  </si>
  <si>
    <t xml:space="preserve">012345678912</t>
  </si>
  <si>
    <t xml:space="preserve">UVW567XYZ</t>
  </si>
  <si>
    <t xml:space="preserve">6.25</t>
  </si>
  <si>
    <t xml:space="preserve">55</t>
  </si>
  <si>
    <t xml:space="preserve">91</t>
  </si>
  <si>
    <t xml:space="preserve">40.54</t>
  </si>
  <si>
    <t xml:space="preserve">CONNECTOR-JST-XH-4PIN</t>
  </si>
  <si>
    <t xml:space="preserve">69.42</t>
  </si>
  <si>
    <t xml:space="preserve">43.41</t>
  </si>
  <si>
    <t xml:space="preserve">97.41</t>
  </si>
  <si>
    <t xml:space="preserve">49.93</t>
  </si>
  <si>
    <t xml:space="preserve">2024-10-16 15:37:51</t>
  </si>
  <si>
    <t xml:space="preserve">Set di connettori JST XH a 4 pin con cavi 20cm. Include coppie maschio-femmina già cablate per collegamenti rapidi e sicuri. Ideale per batterie LiPo e modellismo.</t>
  </si>
  <si>
    <t xml:space="preserve">19. Connettore JST XH 4 pin maschio-femmina</t>
  </si>
  <si>
    <t xml:space="preserve">123456789028</t>
  </si>
  <si>
    <t xml:space="preserve">YZA890BCD</t>
  </si>
  <si>
    <t xml:space="preserve">10.21</t>
  </si>
  <si>
    <t xml:space="preserve">15</t>
  </si>
  <si>
    <t xml:space="preserve">9.16</t>
  </si>
  <si>
    <t xml:space="preserve">SWITCH-MECH-BLUE-KEY</t>
  </si>
  <si>
    <t xml:space="preserve">53.17</t>
  </si>
  <si>
    <t xml:space="preserve">73.31</t>
  </si>
  <si>
    <t xml:space="preserve">7.81</t>
  </si>
  <si>
    <t xml:space="preserve">78.59</t>
  </si>
  <si>
    <t xml:space="preserve">none</t>
  </si>
  <si>
    <t xml:space="preserve">82</t>
  </si>
  <si>
    <t xml:space="preserve">Tastiera meccanica con switch blu (clicky) per feedback tattile e sonoro. Retroilluminazione RGB, layout italiano, tasti multimediali e cavo USB-C rimovibile. Perfetta per chi scrive molto.</t>
  </si>
  <si>
    <t xml:space="preserve">20. Tastiera meccanica switch blu click</t>
  </si>
  <si>
    <t xml:space="preserve">234567890139</t>
  </si>
  <si>
    <t xml:space="preserve">EFG123HIJ</t>
  </si>
  <si>
    <t xml:space="preserve">26.6</t>
  </si>
  <si>
    <t xml:space="preserve">53</t>
  </si>
  <si>
    <t xml:space="preserve">53.99</t>
  </si>
  <si>
    <t xml:space="preserve">KEYCAP-PBT-DOUBLESHOT</t>
  </si>
  <si>
    <t xml:space="preserve">62.93</t>
  </si>
  <si>
    <t xml:space="preserve">68.46</t>
  </si>
  <si>
    <t xml:space="preserve">8.43</t>
  </si>
  <si>
    <t xml:space="preserve">24.12</t>
  </si>
  <si>
    <t xml:space="preserve">Set di keycaps in PBT doubleshot per tastiere meccaniche ANSI. Leggende indelebili, profilo OEM, colore grigio antracite con accenti blu. Include 104 tasti e tool di estrazione.</t>
  </si>
  <si>
    <t xml:space="preserve">21. Set keycaps PBT doubleshot ANSI</t>
  </si>
  <si>
    <t xml:space="preserve">345678901245</t>
  </si>
  <si>
    <t xml:space="preserve">KLM456NOP</t>
  </si>
  <si>
    <t xml:space="preserve">91.96</t>
  </si>
  <si>
    <t xml:space="preserve">12</t>
  </si>
  <si>
    <t xml:space="preserve">74.72</t>
  </si>
  <si>
    <t xml:space="preserve">LENS-CCTV-12MM-IRIS</t>
  </si>
  <si>
    <t xml:space="preserve">81.97</t>
  </si>
  <si>
    <t xml:space="preserve">37.68</t>
  </si>
  <si>
    <t xml:space="preserve">79.69</t>
  </si>
  <si>
    <t xml:space="preserve">28.21</t>
  </si>
  <si>
    <t xml:space="preserve">Obiettivo per telecamere di sorveglianza con lunghezza focale 12mm, apertura F2.0. Messa a fuoco manuale, attacco CS-mount. Ideale per riprese a media distanza e controllo accessi.</t>
  </si>
  <si>
    <t xml:space="preserve">22. Obiettivo CCTV 12mm con messa a fuoco</t>
  </si>
  <si>
    <t xml:space="preserve">456789012356</t>
  </si>
  <si>
    <t xml:space="preserve">QRS789TUV</t>
  </si>
  <si>
    <t xml:space="preserve">15.68</t>
  </si>
  <si>
    <t xml:space="preserve">45</t>
  </si>
  <si>
    <t xml:space="preserve">2</t>
  </si>
  <si>
    <t xml:space="preserve">80.31</t>
  </si>
  <si>
    <t xml:space="preserve">LED-STRIP-WS2812B-5M</t>
  </si>
  <si>
    <t xml:space="preserve">33.32</t>
  </si>
  <si>
    <t xml:space="preserve">12.45</t>
  </si>
  <si>
    <t xml:space="preserve">2.74</t>
  </si>
  <si>
    <t xml:space="preserve">62.47</t>
  </si>
  <si>
    <t xml:space="preserve">13</t>
  </si>
  <si>
    <t xml:space="preserve">Strip LED indirizzabili WS2812B lunghezza 5 metri con 300 LED RGB. Impermeabile IP30, ogni LED è programmabile individualmente. Perfetta per effetti luminosi e illuminazione decorativa.</t>
  </si>
  <si>
    <t xml:space="preserve">23. Strip LED indirizzabili WS2812B 5m 300 LED</t>
  </si>
  <si>
    <t xml:space="preserve">567890123467</t>
  </si>
  <si>
    <t xml:space="preserve">WXY012ZAB</t>
  </si>
  <si>
    <t xml:space="preserve">60.72</t>
  </si>
  <si>
    <t xml:space="preserve">32</t>
  </si>
  <si>
    <t xml:space="preserve">77.25</t>
  </si>
  <si>
    <t xml:space="preserve">HEATSINK-40x40x20-BLK</t>
  </si>
  <si>
    <t xml:space="preserve">93.76</t>
  </si>
  <si>
    <t xml:space="preserve">14.93</t>
  </si>
  <si>
    <t xml:space="preserve">59.92</t>
  </si>
  <si>
    <t xml:space="preserve">23.56</t>
  </si>
  <si>
    <t xml:space="preserve">Dissipatore di calore in alluminio anodizzato nero, dimensioni 40x40x20mm. Alette per massima superficie di scambio termico, include pasta termica e clip di montaggio.</t>
  </si>
  <si>
    <t xml:space="preserve">24. Dissipatore in alluminio 40x40x20mm nero</t>
  </si>
  <si>
    <t xml:space="preserve">678901234578</t>
  </si>
  <si>
    <t xml:space="preserve">BCD345EFG</t>
  </si>
  <si>
    <t xml:space="preserve">48.39</t>
  </si>
  <si>
    <t xml:space="preserve">58</t>
  </si>
  <si>
    <t xml:space="preserve">90.47</t>
  </si>
  <si>
    <t xml:space="preserve">BRACKET-L-MOUNT-50x50</t>
  </si>
  <si>
    <t xml:space="preserve">#A1#C1#D03</t>
  </si>
  <si>
    <t xml:space="preserve">74.7</t>
  </si>
  <si>
    <t xml:space="preserve">62.95</t>
  </si>
  <si>
    <t xml:space="preserve">35.43</t>
  </si>
  <si>
    <t xml:space="preserve">82.1</t>
  </si>
  <si>
    <t xml:space="preserve">search</t>
  </si>
  <si>
    <t xml:space="preserve">Staffa di rinforzo angolare a L in acciaio zincato, dimensioni 50x50mm. Fori da 5mm per montaggio universale. Ideale per strutture, mobili e fai-da-te. Confezione da 4 pezzi.</t>
  </si>
  <si>
    <t xml:space="preserve">25. Staffa angolare a L 50x50mm acciaio</t>
  </si>
  <si>
    <t xml:space="preserve">789012345689</t>
  </si>
  <si>
    <t xml:space="preserve">HIJ678KLM</t>
  </si>
  <si>
    <t xml:space="preserve">8.15</t>
  </si>
  <si>
    <t xml:space="preserve">26</t>
  </si>
  <si>
    <t xml:space="preserve">30</t>
  </si>
  <si>
    <t xml:space="preserve">99.64</t>
  </si>
  <si>
    <t xml:space="preserve">GEAR-PLA-20T-5MM-BORE</t>
  </si>
  <si>
    <t xml:space="preserve">79.75</t>
  </si>
  <si>
    <t xml:space="preserve">92.97</t>
  </si>
  <si>
    <t xml:space="preserve">42.44</t>
  </si>
  <si>
    <t xml:space="preserve">29.32</t>
  </si>
  <si>
    <t xml:space="preserve">52</t>
  </si>
  <si>
    <t xml:space="preserve">Ingranaggio stampato in PLA di alta qualità con modulo 1, 20 denti e foro da 5mm. Alta precisione dimensionale, ideale per progetti di robotica educativa e sostituzioni.</t>
  </si>
  <si>
    <t xml:space="preserve">26. Ingranaggio PLA 20 denti foro 5mm</t>
  </si>
  <si>
    <t xml:space="preserve">890123456790</t>
  </si>
  <si>
    <t xml:space="preserve">NOP901QRS</t>
  </si>
  <si>
    <t xml:space="preserve">60.43</t>
  </si>
  <si>
    <t xml:space="preserve">27</t>
  </si>
  <si>
    <t xml:space="preserve">31.6</t>
  </si>
  <si>
    <t xml:space="preserve">BELT-GT2-6MM-2M-CLOSED</t>
  </si>
  <si>
    <t xml:space="preserve">39.83</t>
  </si>
  <si>
    <t xml:space="preserve">61.47</t>
  </si>
  <si>
    <t xml:space="preserve">45.3</t>
  </si>
  <si>
    <t xml:space="preserve">87.55</t>
  </si>
  <si>
    <t xml:space="preserve">7</t>
  </si>
  <si>
    <t xml:space="preserve">Cinghia dentata GT2 passo 2mm, larghezza 6mm, lunghezza 2 metri già chiusa. Realizzata in gomma con fibre di vetro per minima elasticità. Ideale per stampanti 3D e macchine CNC.</t>
  </si>
  <si>
    <t xml:space="preserve">27. Cinghia GT2 6mm 2 metri chiusa</t>
  </si>
  <si>
    <t xml:space="preserve">901234567801</t>
  </si>
  <si>
    <t xml:space="preserve">TUV234WXY</t>
  </si>
  <si>
    <t xml:space="preserve">88.2</t>
  </si>
  <si>
    <t xml:space="preserve">17</t>
  </si>
  <si>
    <t xml:space="preserve">3.19</t>
  </si>
  <si>
    <t xml:space="preserve">BEARING-608ZZ-8x22x7</t>
  </si>
  <si>
    <t xml:space="preserve">28.53</t>
  </si>
  <si>
    <t xml:space="preserve">18.44</t>
  </si>
  <si>
    <t xml:space="preserve">97.38</t>
  </si>
  <si>
    <t xml:space="preserve">89.14</t>
  </si>
  <si>
    <t xml:space="preserve">Cuscinetto radiale 608ZZ con dimensioni 8x22x7mm, schermato su entrambi i lati per proteggere dalla polvere. Lubrificato a vita. Ideale per skateboard, stampanti 3D e piccoli motori.</t>
  </si>
  <si>
    <t xml:space="preserve">28. Cuscinetto 608ZZ 8x22x7mm schermato</t>
  </si>
  <si>
    <t xml:space="preserve">012345678923</t>
  </si>
  <si>
    <t xml:space="preserve">YZA567BCD</t>
  </si>
  <si>
    <t xml:space="preserve">76.59</t>
  </si>
  <si>
    <t xml:space="preserve">78</t>
  </si>
  <si>
    <t xml:space="preserve">38</t>
  </si>
  <si>
    <t xml:space="preserve">8.14</t>
  </si>
  <si>
    <t xml:space="preserve">SPRING-COMP-30x100-2N</t>
  </si>
  <si>
    <t xml:space="preserve">4.53</t>
  </si>
  <si>
    <t xml:space="preserve">60.28</t>
  </si>
  <si>
    <t xml:space="preserve">57.91</t>
  </si>
  <si>
    <t xml:space="preserve">49.52</t>
  </si>
  <si>
    <t xml:space="preserve">80</t>
  </si>
  <si>
    <t xml:space="preserve">Molla di compressione in acciaio inox, diametro 30mm, lunghezza 100mm, forza 2N. Trattamento anticorrosione, estremità chiuse e rettificate. Per applicazioni meccaniche e prototipazione.</t>
  </si>
  <si>
    <t xml:space="preserve">29. Molla compressione 30x100mm forza 2N</t>
  </si>
  <si>
    <t xml:space="preserve">123456789034</t>
  </si>
  <si>
    <t xml:space="preserve">EFG890HIJ</t>
  </si>
  <si>
    <t xml:space="preserve">63.95</t>
  </si>
  <si>
    <t xml:space="preserve">74</t>
  </si>
  <si>
    <t xml:space="preserve">84</t>
  </si>
  <si>
    <t xml:space="preserve">88.47</t>
  </si>
  <si>
    <t xml:space="preserve">SCREW-M3x10-BH-SS10</t>
  </si>
  <si>
    <t xml:space="preserve">40.75</t>
  </si>
  <si>
    <t xml:space="preserve">9.57</t>
  </si>
  <si>
    <t xml:space="preserve">49.2</t>
  </si>
  <si>
    <t xml:space="preserve">44.39</t>
  </si>
  <si>
    <t xml:space="preserve">Viti M3 con lunghezza 10mm, testa bombata a croce, in acciaio inox A2. Filettatura metrica completa, confezione da 50 pezzi con rondelle incluse. Ideali per elettronica e assemblaggi delicati.</t>
  </si>
  <si>
    <t xml:space="preserve">30. Vite M3x10 testa bombata acciaio inox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</si>
</sst>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31"/>
  <sheetViews>
    <sheetView showFormulas="false" showGridLines="true" showRowColHeaders="true" showZeros="true" rightToLeft="false" tabSelected="true" showOutlineSymbols="true" defaultGridColor="true" view="normal" topLeftCell="L1" colorId="64" zoomScale="100" zoomScaleNormal="100" zoomScalePageLayoutView="100" workbookViewId="0">
      <selection pane="topLeft" activeCell="P2" activeCellId="0" sqref="P2"/>
    </sheetView>
  </sheetViews>
  <sheetFormatPr defaultColWidth="10.58203125" defaultRowHeight="15" zeroHeight="false" outlineLevelRow="0" outlineLevelCol="0"/>
  <cols>
    <col collapsed="false" customWidth="true" hidden="false" outlineLevel="0" max="1" min="1" style="1" width="10.37"/>
    <col collapsed="false" customWidth="true" hidden="false" outlineLevel="0" max="3" min="3" style="1" width="15.48"/>
    <col collapsed="false" customWidth="true" hidden="false" outlineLevel="0" max="4" min="4" style="1" width="18.16"/>
    <col collapsed="false" customWidth="true" hidden="false" outlineLevel="0" max="5" min="5" style="1" width="14.71"/>
    <col collapsed="false" customWidth="true" hidden="false" outlineLevel="0" max="6" min="6" style="1" width="17.52"/>
    <col collapsed="false" customWidth="true" hidden="false" outlineLevel="0" max="7" min="7" style="1" width="7.82"/>
    <col collapsed="false" customWidth="true" hidden="false" outlineLevel="0" max="8" min="8" style="1" width="11.01"/>
    <col collapsed="false" customWidth="true" hidden="false" outlineLevel="0" max="9" min="9" style="1" width="16.89"/>
    <col collapsed="false" customWidth="true" hidden="false" outlineLevel="0" max="10" min="10" style="1" width="16.5"/>
    <col collapsed="false" customWidth="true" hidden="false" outlineLevel="0" max="11" min="11" style="1" width="16.25"/>
    <col collapsed="false" customWidth="true" hidden="false" outlineLevel="0" max="12" min="12" style="1" width="44.19"/>
    <col collapsed="false" customWidth="true" hidden="false" outlineLevel="0" max="13" min="13" style="1" width="6.92"/>
    <col collapsed="false" customWidth="true" hidden="false" outlineLevel="0" max="14" min="14" style="1" width="8.21"/>
    <col collapsed="false" customWidth="true" hidden="false" outlineLevel="0" max="15" min="15" style="1" width="16.12"/>
    <col collapsed="false" customWidth="true" hidden="false" outlineLevel="0" max="16" min="16" style="1" width="18.41"/>
    <col collapsed="false" customWidth="true" hidden="false" outlineLevel="0" max="17" min="17" style="1" width="14.59"/>
    <col collapsed="false" customWidth="true" hidden="false" outlineLevel="0" max="18" min="18" style="1" width="6.03"/>
    <col collapsed="false" customWidth="true" hidden="false" outlineLevel="0" max="19" min="19" style="1" width="14.97"/>
    <col collapsed="false" customWidth="true" hidden="false" outlineLevel="0" max="20" min="20" style="1" width="9.37"/>
    <col collapsed="false" customWidth="true" hidden="false" outlineLevel="0" max="22" min="21" style="1" width="14.84"/>
    <col collapsed="false" customWidth="true" hidden="false" outlineLevel="0" max="23" min="23" style="1" width="21.98"/>
    <col collapsed="false" customWidth="true" hidden="false" outlineLevel="0" max="24" min="24" style="1" width="37.05"/>
    <col collapsed="false" customWidth="true" hidden="false" outlineLevel="0" max="25" min="25" style="1" width="38.2"/>
    <col collapsed="false" customWidth="true" hidden="false" outlineLevel="0" max="26" min="26" style="1" width="72.78"/>
    <col collapsed="false" customWidth="true" hidden="false" outlineLevel="0" max="27" min="27" style="1" width="6.03"/>
    <col collapsed="false" customWidth="true" hidden="false" outlineLevel="0" max="28" min="28" style="1" width="6.67"/>
    <col collapsed="false" customWidth="true" hidden="false" outlineLevel="0" max="29" min="29" style="1" width="6.18"/>
    <col collapsed="false" customWidth="true" hidden="false" outlineLevel="0" max="30" min="30" style="1" width="7.06"/>
    <col collapsed="false" customWidth="true" hidden="false" outlineLevel="0" max="31" min="31" style="1" width="12.03"/>
    <col collapsed="false" customWidth="true" hidden="false" outlineLevel="0" max="33" min="32" style="1" width="16.12"/>
    <col collapsed="false" customWidth="true" hidden="false" outlineLevel="0" max="34" min="34" style="1" width="12.29"/>
    <col collapsed="false" customWidth="true" hidden="false" outlineLevel="0" max="35" min="35" style="1" width="14.97"/>
    <col collapsed="false" customWidth="true" hidden="false" outlineLevel="0" max="36" min="36" style="1" width="9.99"/>
    <col collapsed="false" customWidth="true" hidden="false" outlineLevel="0" max="37" min="37" style="1" width="6.42"/>
    <col collapsed="false" customWidth="true" hidden="false" outlineLevel="0" max="38" min="38" style="1" width="14.06"/>
    <col collapsed="false" customWidth="true" hidden="false" outlineLevel="0" max="40" min="39" style="1" width="18.03"/>
    <col collapsed="false" customWidth="true" hidden="false" outlineLevel="0" max="41" min="41" style="1" width="13.7"/>
    <col collapsed="false" customWidth="true" hidden="false" outlineLevel="0" max="42" min="42" style="1" width="14.06"/>
    <col collapsed="false" customWidth="true" hidden="false" outlineLevel="0" max="43" min="43" style="1" width="10.87"/>
    <col collapsed="false" customWidth="true" hidden="false" outlineLevel="0" max="44" min="44" style="1" width="7.95"/>
    <col collapsed="false" customWidth="true" hidden="false" outlineLevel="0" max="45" min="45" style="1" width="14.06"/>
    <col collapsed="false" customWidth="true" hidden="false" outlineLevel="0" max="49" min="46" style="1" width="21.48"/>
    <col collapsed="false" customWidth="true" hidden="false" outlineLevel="0" max="50" min="50" style="1" width="26.71"/>
    <col collapsed="false" customWidth="true" hidden="false" outlineLevel="0" max="52" min="51" style="1" width="18.54"/>
    <col collapsed="false" customWidth="true" hidden="false" outlineLevel="0" max="53" min="53" style="1" width="15.1"/>
    <col collapsed="false" customWidth="true" hidden="false" outlineLevel="0" max="54" min="54" style="1" width="5.52"/>
    <col collapsed="false" customWidth="true" hidden="false" outlineLevel="0" max="55" min="55" style="1" width="14.06"/>
    <col collapsed="false" customWidth="true" hidden="false" outlineLevel="0" max="57" min="57" style="1" width="166.84"/>
    <col collapsed="false" customWidth="true" hidden="false" outlineLevel="0" max="61" min="58" style="1" width="14.06"/>
    <col collapsed="false" customWidth="true" hidden="false" outlineLevel="0" max="62" min="62" style="1" width="40.88"/>
    <col collapsed="false" customWidth="true" hidden="false" outlineLevel="0" max="64" min="63" style="1" width="13.44"/>
    <col collapsed="false" customWidth="true" hidden="false" outlineLevel="0" max="65" min="65" style="1" width="13.95"/>
    <col collapsed="false" customWidth="true" hidden="false" outlineLevel="0" max="66" min="66" style="1" width="15.86"/>
    <col collapsed="false" customWidth="true" hidden="false" outlineLevel="0" max="67" min="67" style="1" width="17.01"/>
    <col collapsed="false" customWidth="true" hidden="false" outlineLevel="0" max="68" min="68" style="1" width="110.05"/>
    <col collapsed="false" customWidth="true" hidden="false" outlineLevel="0" max="69" min="69" style="1" width="15.48"/>
    <col collapsed="false" customWidth="true" hidden="false" outlineLevel="0" max="70" min="70" style="1" width="27.86"/>
    <col collapsed="false" customWidth="true" hidden="false" outlineLevel="0" max="71" min="71" style="1" width="19.05"/>
    <col collapsed="false" customWidth="true" hidden="false" outlineLevel="0" max="72" min="72" style="1" width="18.92"/>
    <col collapsed="false" customWidth="true" hidden="false" outlineLevel="0" max="73" min="73" style="1" width="9.1"/>
    <col collapsed="false" customWidth="true" hidden="false" outlineLevel="0" max="74" min="74" style="1" width="10.1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s">
        <v>74</v>
      </c>
      <c r="H2" s="2" t="s">
        <v>74</v>
      </c>
      <c r="I2" s="2" t="n">
        <v>5901234123457</v>
      </c>
      <c r="J2" s="2" t="n">
        <v>9788833310112</v>
      </c>
      <c r="K2" s="3" t="s">
        <v>75</v>
      </c>
      <c r="L2" s="2" t="s">
        <v>76</v>
      </c>
      <c r="M2" s="2" t="s">
        <v>77</v>
      </c>
      <c r="N2" s="2" t="s">
        <v>78</v>
      </c>
      <c r="O2" s="2" t="s">
        <v>79</v>
      </c>
      <c r="P2" s="2" t="n">
        <v>5</v>
      </c>
      <c r="Q2" s="2" t="n">
        <v>1</v>
      </c>
      <c r="R2" s="2" t="n">
        <v>63.71</v>
      </c>
      <c r="S2" s="2" t="n">
        <f aca="false">R2/1.45</f>
        <v>43.9379310344828</v>
      </c>
      <c r="T2" s="2" t="s">
        <v>80</v>
      </c>
      <c r="U2" s="2" t="n">
        <v>0</v>
      </c>
      <c r="V2" s="2" t="s">
        <v>81</v>
      </c>
      <c r="W2" s="2" t="n">
        <f aca="false">ROUND(R2*7/100,2)</f>
        <v>4.46</v>
      </c>
      <c r="X2" s="2" t="s">
        <v>82</v>
      </c>
      <c r="Y2" s="2" t="s">
        <v>82</v>
      </c>
      <c r="Z2" s="2"/>
      <c r="AA2" s="2" t="s">
        <v>83</v>
      </c>
      <c r="AB2" s="2" t="s">
        <v>84</v>
      </c>
      <c r="AC2" s="2" t="s">
        <v>85</v>
      </c>
      <c r="AD2" s="2" t="s">
        <v>86</v>
      </c>
      <c r="AE2" s="2" t="n">
        <v>2</v>
      </c>
      <c r="AF2" s="2"/>
      <c r="AG2" s="2"/>
      <c r="AH2" s="2"/>
      <c r="AI2" s="2"/>
      <c r="AJ2" s="2"/>
      <c r="AK2" s="2" t="s">
        <v>87</v>
      </c>
      <c r="AL2" s="2"/>
      <c r="AM2" s="2"/>
      <c r="AN2" s="2" t="s">
        <v>87</v>
      </c>
      <c r="AO2" s="2" t="s">
        <v>88</v>
      </c>
      <c r="AP2" s="2" t="s">
        <v>89</v>
      </c>
      <c r="AQ2" s="2" t="s">
        <v>87</v>
      </c>
      <c r="AR2" s="2" t="s">
        <v>74</v>
      </c>
      <c r="AS2" s="2" t="s">
        <v>90</v>
      </c>
      <c r="AT2" s="2" t="n">
        <v>0</v>
      </c>
      <c r="AU2" s="2" t="n">
        <v>0</v>
      </c>
      <c r="AV2" s="2" t="n">
        <v>0</v>
      </c>
      <c r="AW2" s="2" t="s">
        <v>91</v>
      </c>
      <c r="AX2" s="2" t="s">
        <v>74</v>
      </c>
      <c r="AY2" s="2" t="s">
        <v>92</v>
      </c>
      <c r="AZ2" s="2" t="s">
        <v>92</v>
      </c>
      <c r="BA2" s="2" t="n">
        <v>3</v>
      </c>
      <c r="BB2" s="2"/>
      <c r="BC2" s="2"/>
      <c r="BE2" s="2" t="s">
        <v>93</v>
      </c>
      <c r="BF2" s="2"/>
      <c r="BG2" s="2"/>
      <c r="BH2" s="2"/>
      <c r="BI2" s="2"/>
      <c r="BJ2" s="2" t="s">
        <v>94</v>
      </c>
      <c r="BK2" s="2" t="s">
        <v>95</v>
      </c>
      <c r="BL2" s="2"/>
      <c r="BM2" s="2"/>
      <c r="BN2" s="2"/>
      <c r="BO2" s="2"/>
      <c r="BP2" s="2" t="s">
        <v>96</v>
      </c>
      <c r="BQ2" s="2" t="s">
        <v>97</v>
      </c>
      <c r="BR2" s="2" t="s">
        <v>98</v>
      </c>
      <c r="BS2" s="2" t="s">
        <v>99</v>
      </c>
      <c r="BT2" s="2" t="s">
        <v>100</v>
      </c>
      <c r="BU2" s="2" t="s">
        <v>101</v>
      </c>
      <c r="BV2" s="2" t="s">
        <v>102</v>
      </c>
    </row>
    <row r="3" customFormat="false" ht="15" hidden="false" customHeight="false" outlineLevel="0" collapsed="false">
      <c r="A3" s="2" t="n">
        <v>0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s">
        <v>87</v>
      </c>
      <c r="H3" s="2" t="s">
        <v>74</v>
      </c>
      <c r="I3" s="2" t="n">
        <v>4006381333931</v>
      </c>
      <c r="J3" s="2" t="n">
        <v>9788804668237</v>
      </c>
      <c r="K3" s="3" t="s">
        <v>103</v>
      </c>
      <c r="L3" s="2" t="s">
        <v>104</v>
      </c>
      <c r="M3" s="2" t="s">
        <v>105</v>
      </c>
      <c r="N3" s="2" t="s">
        <v>106</v>
      </c>
      <c r="O3" s="2" t="s">
        <v>107</v>
      </c>
      <c r="P3" s="2" t="n">
        <v>10</v>
      </c>
      <c r="Q3" s="2" t="n">
        <v>1</v>
      </c>
      <c r="R3" s="2" t="n">
        <v>11.73</v>
      </c>
      <c r="S3" s="2" t="n">
        <f aca="false">R3/1.45</f>
        <v>8.08965517241379</v>
      </c>
      <c r="T3" s="2" t="s">
        <v>80</v>
      </c>
      <c r="U3" s="2" t="n">
        <v>0</v>
      </c>
      <c r="V3" s="2" t="s">
        <v>108</v>
      </c>
      <c r="W3" s="2" t="n">
        <f aca="false">ROUND(R3*7/100,2)</f>
        <v>0.82</v>
      </c>
      <c r="X3" s="2" t="s">
        <v>109</v>
      </c>
      <c r="Y3" s="2" t="s">
        <v>109</v>
      </c>
      <c r="Z3" s="2"/>
      <c r="AA3" s="2" t="s">
        <v>110</v>
      </c>
      <c r="AB3" s="2" t="s">
        <v>111</v>
      </c>
      <c r="AC3" s="2" t="s">
        <v>112</v>
      </c>
      <c r="AD3" s="2" t="s">
        <v>113</v>
      </c>
      <c r="AE3" s="2" t="n">
        <v>2</v>
      </c>
      <c r="AF3" s="2"/>
      <c r="AG3" s="2"/>
      <c r="AH3" s="2"/>
      <c r="AI3" s="2"/>
      <c r="AJ3" s="2"/>
      <c r="AK3" s="2" t="s">
        <v>87</v>
      </c>
      <c r="AL3" s="2"/>
      <c r="AM3" s="2"/>
      <c r="AN3" s="2" t="s">
        <v>87</v>
      </c>
      <c r="AO3" s="2" t="s">
        <v>88</v>
      </c>
      <c r="AP3" s="2" t="s">
        <v>89</v>
      </c>
      <c r="AQ3" s="2" t="s">
        <v>87</v>
      </c>
      <c r="AR3" s="2" t="s">
        <v>74</v>
      </c>
      <c r="AS3" s="2" t="s">
        <v>90</v>
      </c>
      <c r="AT3" s="2" t="n">
        <v>0</v>
      </c>
      <c r="AU3" s="2" t="n">
        <v>0</v>
      </c>
      <c r="AV3" s="2" t="n">
        <v>0</v>
      </c>
      <c r="AW3" s="2" t="s">
        <v>114</v>
      </c>
      <c r="AX3" s="2" t="s">
        <v>87</v>
      </c>
      <c r="AY3" s="2" t="s">
        <v>92</v>
      </c>
      <c r="AZ3" s="2" t="s">
        <v>92</v>
      </c>
      <c r="BA3" s="2" t="n">
        <v>3</v>
      </c>
      <c r="BB3" s="2"/>
      <c r="BC3" s="2"/>
      <c r="BE3" s="2" t="s">
        <v>115</v>
      </c>
      <c r="BF3" s="2"/>
      <c r="BG3" s="2"/>
      <c r="BH3" s="2"/>
      <c r="BI3" s="2"/>
      <c r="BJ3" s="2" t="s">
        <v>116</v>
      </c>
      <c r="BK3" s="2"/>
      <c r="BL3" s="2"/>
      <c r="BM3" s="2"/>
      <c r="BN3" s="2"/>
      <c r="BO3" s="2"/>
      <c r="BP3" s="2" t="s">
        <v>117</v>
      </c>
      <c r="BR3" s="2" t="s">
        <v>118</v>
      </c>
      <c r="BS3" s="2" t="s">
        <v>119</v>
      </c>
      <c r="BU3" s="2" t="s">
        <v>120</v>
      </c>
      <c r="BV3" s="2" t="s">
        <v>102</v>
      </c>
    </row>
    <row r="4" customFormat="false" ht="15" hidden="false" customHeight="false" outlineLevel="0" collapsed="false">
      <c r="A4" s="2" t="n">
        <v>0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s">
        <v>87</v>
      </c>
      <c r="H4" s="2" t="s">
        <v>74</v>
      </c>
      <c r="I4" s="2" t="n">
        <v>9780201379624</v>
      </c>
      <c r="J4" s="2" t="n">
        <v>9788850265843</v>
      </c>
      <c r="K4" s="3" t="s">
        <v>121</v>
      </c>
      <c r="L4" s="2" t="s">
        <v>122</v>
      </c>
      <c r="M4" s="2" t="s">
        <v>123</v>
      </c>
      <c r="N4" s="2" t="s">
        <v>124</v>
      </c>
      <c r="O4" s="2" t="s">
        <v>125</v>
      </c>
      <c r="P4" s="2" t="n">
        <v>2</v>
      </c>
      <c r="Q4" s="2" t="n">
        <v>1</v>
      </c>
      <c r="R4" s="2" t="n">
        <v>10.43</v>
      </c>
      <c r="S4" s="2" t="n">
        <f aca="false">R4/1.45</f>
        <v>7.19310344827586</v>
      </c>
      <c r="T4" s="2" t="s">
        <v>80</v>
      </c>
      <c r="U4" s="2" t="n">
        <v>0</v>
      </c>
      <c r="V4" s="2" t="s">
        <v>126</v>
      </c>
      <c r="W4" s="2" t="n">
        <f aca="false">ROUND(R4*7/100,2)</f>
        <v>0.73</v>
      </c>
      <c r="X4" s="2" t="s">
        <v>127</v>
      </c>
      <c r="Y4" s="2" t="s">
        <v>127</v>
      </c>
      <c r="Z4" s="2"/>
      <c r="AA4" s="2" t="s">
        <v>128</v>
      </c>
      <c r="AB4" s="2" t="s">
        <v>129</v>
      </c>
      <c r="AC4" s="2" t="s">
        <v>130</v>
      </c>
      <c r="AD4" s="2" t="s">
        <v>131</v>
      </c>
      <c r="AE4" s="2" t="n">
        <v>2</v>
      </c>
      <c r="AF4" s="2"/>
      <c r="AG4" s="2"/>
      <c r="AH4" s="2"/>
      <c r="AI4" s="2"/>
      <c r="AJ4" s="2"/>
      <c r="AK4" s="2" t="s">
        <v>87</v>
      </c>
      <c r="AL4" s="2"/>
      <c r="AM4" s="2"/>
      <c r="AN4" s="2" t="s">
        <v>87</v>
      </c>
      <c r="AO4" s="2" t="s">
        <v>88</v>
      </c>
      <c r="AP4" s="2" t="s">
        <v>89</v>
      </c>
      <c r="AQ4" s="2" t="s">
        <v>74</v>
      </c>
      <c r="AR4" s="2" t="s">
        <v>87</v>
      </c>
      <c r="AS4" s="2" t="s">
        <v>90</v>
      </c>
      <c r="AT4" s="2" t="n">
        <v>0</v>
      </c>
      <c r="AU4" s="2" t="n">
        <v>0</v>
      </c>
      <c r="AV4" s="2" t="n">
        <v>0</v>
      </c>
      <c r="AW4" s="2" t="s">
        <v>132</v>
      </c>
      <c r="AX4" s="2" t="s">
        <v>87</v>
      </c>
      <c r="AY4" s="2" t="s">
        <v>92</v>
      </c>
      <c r="AZ4" s="2" t="s">
        <v>92</v>
      </c>
      <c r="BA4" s="2" t="n">
        <v>3</v>
      </c>
      <c r="BB4" s="2"/>
      <c r="BC4" s="2"/>
      <c r="BE4" s="2" t="s">
        <v>133</v>
      </c>
      <c r="BF4" s="2"/>
      <c r="BG4" s="2"/>
      <c r="BH4" s="2"/>
      <c r="BI4" s="2"/>
      <c r="BJ4" s="2" t="s">
        <v>134</v>
      </c>
      <c r="BK4" s="2" t="s">
        <v>95</v>
      </c>
      <c r="BL4" s="2"/>
      <c r="BM4" s="2"/>
      <c r="BN4" s="2"/>
      <c r="BO4" s="2"/>
      <c r="BP4" s="2" t="s">
        <v>117</v>
      </c>
      <c r="BR4" s="2" t="s">
        <v>135</v>
      </c>
      <c r="BU4" s="2" t="s">
        <v>136</v>
      </c>
      <c r="BV4" s="2" t="s">
        <v>137</v>
      </c>
    </row>
    <row r="5" customFormat="false" ht="15" hidden="false" customHeight="false" outlineLevel="0" collapsed="false">
      <c r="A5" s="2" t="n">
        <v>0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s">
        <v>74</v>
      </c>
      <c r="H5" s="2" t="s">
        <v>87</v>
      </c>
      <c r="I5" s="2" t="n">
        <v>1234567890128</v>
      </c>
      <c r="J5" s="2" t="n">
        <v>9788845298741</v>
      </c>
      <c r="K5" s="3" t="s">
        <v>138</v>
      </c>
      <c r="L5" s="2" t="s">
        <v>139</v>
      </c>
      <c r="M5" s="2" t="s">
        <v>140</v>
      </c>
      <c r="N5" s="2" t="s">
        <v>141</v>
      </c>
      <c r="O5" s="2" t="s">
        <v>142</v>
      </c>
      <c r="P5" s="2" t="n">
        <v>15</v>
      </c>
      <c r="Q5" s="2" t="n">
        <v>1</v>
      </c>
      <c r="R5" s="2" t="n">
        <v>95.44</v>
      </c>
      <c r="S5" s="2" t="n">
        <f aca="false">R5/1.45</f>
        <v>65.8206896551724</v>
      </c>
      <c r="T5" s="2" t="s">
        <v>80</v>
      </c>
      <c r="U5" s="2" t="n">
        <v>0</v>
      </c>
      <c r="V5" s="2" t="s">
        <v>143</v>
      </c>
      <c r="W5" s="2" t="n">
        <f aca="false">ROUND(R5*7/100,2)</f>
        <v>6.68</v>
      </c>
      <c r="X5" s="2" t="s">
        <v>144</v>
      </c>
      <c r="Y5" s="2" t="s">
        <v>144</v>
      </c>
      <c r="Z5" s="2"/>
      <c r="AA5" s="2" t="s">
        <v>145</v>
      </c>
      <c r="AB5" s="2" t="s">
        <v>146</v>
      </c>
      <c r="AC5" s="2" t="s">
        <v>147</v>
      </c>
      <c r="AD5" s="2" t="s">
        <v>148</v>
      </c>
      <c r="AE5" s="2" t="n">
        <v>2</v>
      </c>
      <c r="AF5" s="2"/>
      <c r="AG5" s="2"/>
      <c r="AH5" s="2"/>
      <c r="AI5" s="2"/>
      <c r="AJ5" s="2"/>
      <c r="AK5" s="2" t="s">
        <v>74</v>
      </c>
      <c r="AL5" s="2"/>
      <c r="AM5" s="2"/>
      <c r="AN5" s="2" t="s">
        <v>87</v>
      </c>
      <c r="AO5" s="2" t="s">
        <v>88</v>
      </c>
      <c r="AP5" s="2" t="s">
        <v>89</v>
      </c>
      <c r="AQ5" s="2" t="s">
        <v>87</v>
      </c>
      <c r="AR5" s="2" t="s">
        <v>74</v>
      </c>
      <c r="AS5" s="2" t="s">
        <v>90</v>
      </c>
      <c r="AT5" s="2" t="n">
        <v>0</v>
      </c>
      <c r="AU5" s="2" t="n">
        <v>0</v>
      </c>
      <c r="AV5" s="2" t="n">
        <v>0</v>
      </c>
      <c r="AW5" s="2" t="s">
        <v>149</v>
      </c>
      <c r="AX5" s="2" t="s">
        <v>74</v>
      </c>
      <c r="AY5" s="2" t="s">
        <v>92</v>
      </c>
      <c r="AZ5" s="2" t="s">
        <v>92</v>
      </c>
      <c r="BA5" s="2" t="n">
        <v>3</v>
      </c>
      <c r="BB5" s="2"/>
      <c r="BC5" s="2"/>
      <c r="BE5" s="2" t="s">
        <v>150</v>
      </c>
      <c r="BF5" s="2"/>
      <c r="BG5" s="2"/>
      <c r="BH5" s="2"/>
      <c r="BI5" s="2"/>
      <c r="BJ5" s="2" t="s">
        <v>151</v>
      </c>
      <c r="BK5" s="2"/>
      <c r="BL5" s="2"/>
      <c r="BM5" s="2"/>
      <c r="BN5" s="2"/>
      <c r="BO5" s="2"/>
      <c r="BP5" s="2" t="s">
        <v>152</v>
      </c>
      <c r="BQ5" s="2" t="s">
        <v>153</v>
      </c>
      <c r="BR5" s="2" t="s">
        <v>154</v>
      </c>
      <c r="BS5" s="2" t="s">
        <v>119</v>
      </c>
      <c r="BT5" s="2" t="s">
        <v>155</v>
      </c>
      <c r="BU5" s="2" t="s">
        <v>156</v>
      </c>
    </row>
    <row r="6" customFormat="false" ht="15" hidden="false" customHeight="false" outlineLevel="0" collapsed="false">
      <c r="A6" s="2" t="n">
        <v>0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s">
        <v>87</v>
      </c>
      <c r="H6" s="2" t="s">
        <v>74</v>
      </c>
      <c r="I6" s="2" t="n">
        <v>4012345678901</v>
      </c>
      <c r="J6" s="2" t="n">
        <v>9788817145679</v>
      </c>
      <c r="K6" s="3" t="s">
        <v>157</v>
      </c>
      <c r="L6" s="2" t="s">
        <v>158</v>
      </c>
      <c r="M6" s="2" t="s">
        <v>159</v>
      </c>
      <c r="N6" s="2" t="s">
        <v>160</v>
      </c>
      <c r="O6" s="2" t="s">
        <v>161</v>
      </c>
      <c r="P6" s="2" t="n">
        <v>8</v>
      </c>
      <c r="Q6" s="2" t="n">
        <v>1</v>
      </c>
      <c r="R6" s="2" t="n">
        <v>83.26</v>
      </c>
      <c r="S6" s="2" t="n">
        <f aca="false">R6/1.45</f>
        <v>57.4206896551724</v>
      </c>
      <c r="T6" s="2" t="s">
        <v>80</v>
      </c>
      <c r="U6" s="2" t="n">
        <v>0</v>
      </c>
      <c r="V6" s="2" t="s">
        <v>162</v>
      </c>
      <c r="W6" s="2" t="n">
        <f aca="false">ROUND(R6*7/100,2)</f>
        <v>5.83</v>
      </c>
      <c r="X6" s="2" t="s">
        <v>163</v>
      </c>
      <c r="Y6" s="2" t="s">
        <v>163</v>
      </c>
      <c r="Z6" s="2"/>
      <c r="AA6" s="2" t="s">
        <v>164</v>
      </c>
      <c r="AB6" s="2" t="s">
        <v>165</v>
      </c>
      <c r="AC6" s="2" t="s">
        <v>166</v>
      </c>
      <c r="AD6" s="2" t="s">
        <v>167</v>
      </c>
      <c r="AE6" s="2" t="n">
        <v>2</v>
      </c>
      <c r="AF6" s="2"/>
      <c r="AG6" s="2"/>
      <c r="AH6" s="2"/>
      <c r="AI6" s="2"/>
      <c r="AJ6" s="2"/>
      <c r="AK6" s="2" t="s">
        <v>87</v>
      </c>
      <c r="AL6" s="2"/>
      <c r="AM6" s="2"/>
      <c r="AN6" s="2" t="s">
        <v>74</v>
      </c>
      <c r="AO6" s="2" t="s">
        <v>88</v>
      </c>
      <c r="AP6" s="2" t="s">
        <v>89</v>
      </c>
      <c r="AQ6" s="2" t="s">
        <v>74</v>
      </c>
      <c r="AR6" s="2" t="s">
        <v>74</v>
      </c>
      <c r="AS6" s="2" t="s">
        <v>90</v>
      </c>
      <c r="AT6" s="2" t="n">
        <v>0</v>
      </c>
      <c r="AU6" s="2" t="n">
        <v>0</v>
      </c>
      <c r="AV6" s="2" t="n">
        <v>0</v>
      </c>
      <c r="AW6" s="2" t="s">
        <v>78</v>
      </c>
      <c r="AX6" s="2" t="s">
        <v>74</v>
      </c>
      <c r="AY6" s="2" t="s">
        <v>92</v>
      </c>
      <c r="AZ6" s="2" t="s">
        <v>92</v>
      </c>
      <c r="BA6" s="2" t="n">
        <v>3</v>
      </c>
      <c r="BB6" s="2"/>
      <c r="BC6" s="2"/>
      <c r="BE6" s="2" t="s">
        <v>168</v>
      </c>
      <c r="BF6" s="2"/>
      <c r="BG6" s="2"/>
      <c r="BH6" s="2"/>
      <c r="BI6" s="2"/>
      <c r="BJ6" s="2" t="s">
        <v>169</v>
      </c>
      <c r="BK6" s="2"/>
      <c r="BL6" s="2"/>
      <c r="BM6" s="2"/>
      <c r="BN6" s="2"/>
      <c r="BO6" s="2"/>
      <c r="BS6" s="2" t="s">
        <v>170</v>
      </c>
      <c r="BU6" s="2" t="s">
        <v>120</v>
      </c>
    </row>
    <row r="7" customFormat="false" ht="15" hidden="false" customHeight="false" outlineLevel="0" collapsed="false">
      <c r="A7" s="2" t="n">
        <v>0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s">
        <v>87</v>
      </c>
      <c r="H7" s="2" t="s">
        <v>87</v>
      </c>
      <c r="I7" s="2" t="n">
        <v>8001505012387</v>
      </c>
      <c r="J7" s="2" t="n">
        <v>9788851198765</v>
      </c>
      <c r="K7" s="3" t="s">
        <v>171</v>
      </c>
      <c r="L7" s="2" t="s">
        <v>172</v>
      </c>
      <c r="M7" s="2" t="s">
        <v>173</v>
      </c>
      <c r="N7" s="2" t="s">
        <v>174</v>
      </c>
      <c r="O7" s="2" t="s">
        <v>161</v>
      </c>
      <c r="P7" s="2" t="n">
        <v>3</v>
      </c>
      <c r="Q7" s="2" t="n">
        <v>1</v>
      </c>
      <c r="R7" s="2" t="n">
        <v>2.5</v>
      </c>
      <c r="S7" s="2" t="n">
        <f aca="false">R7/1.45</f>
        <v>1.72413793103448</v>
      </c>
      <c r="T7" s="2" t="s">
        <v>80</v>
      </c>
      <c r="U7" s="2" t="n">
        <v>0</v>
      </c>
      <c r="V7" s="2" t="s">
        <v>175</v>
      </c>
      <c r="W7" s="2" t="n">
        <f aca="false">ROUND(R7*7/100,2)</f>
        <v>0.18</v>
      </c>
      <c r="X7" s="2" t="s">
        <v>176</v>
      </c>
      <c r="Y7" s="2" t="s">
        <v>176</v>
      </c>
      <c r="Z7" s="2" t="s">
        <v>177</v>
      </c>
      <c r="AA7" s="2" t="s">
        <v>178</v>
      </c>
      <c r="AB7" s="2" t="s">
        <v>179</v>
      </c>
      <c r="AC7" s="2" t="s">
        <v>180</v>
      </c>
      <c r="AD7" s="2" t="s">
        <v>181</v>
      </c>
      <c r="AE7" s="2" t="n">
        <v>2</v>
      </c>
      <c r="AF7" s="2"/>
      <c r="AG7" s="2"/>
      <c r="AH7" s="2"/>
      <c r="AI7" s="2"/>
      <c r="AJ7" s="2"/>
      <c r="AK7" s="2" t="s">
        <v>87</v>
      </c>
      <c r="AL7" s="2"/>
      <c r="AM7" s="2"/>
      <c r="AN7" s="2" t="s">
        <v>74</v>
      </c>
      <c r="AO7" s="2" t="s">
        <v>88</v>
      </c>
      <c r="AP7" s="2" t="s">
        <v>89</v>
      </c>
      <c r="AQ7" s="2" t="s">
        <v>87</v>
      </c>
      <c r="AR7" s="2" t="s">
        <v>74</v>
      </c>
      <c r="AS7" s="2" t="s">
        <v>90</v>
      </c>
      <c r="AT7" s="2" t="n">
        <v>0</v>
      </c>
      <c r="AU7" s="2" t="n">
        <v>0</v>
      </c>
      <c r="AV7" s="2" t="n">
        <v>0</v>
      </c>
      <c r="AW7" s="2" t="s">
        <v>182</v>
      </c>
      <c r="AX7" s="2" t="s">
        <v>87</v>
      </c>
      <c r="AY7" s="2" t="s">
        <v>92</v>
      </c>
      <c r="AZ7" s="2" t="s">
        <v>92</v>
      </c>
      <c r="BA7" s="2" t="n">
        <v>3</v>
      </c>
      <c r="BB7" s="2"/>
      <c r="BC7" s="2"/>
      <c r="BE7" s="2" t="s">
        <v>183</v>
      </c>
      <c r="BF7" s="2"/>
      <c r="BG7" s="2"/>
      <c r="BH7" s="2"/>
      <c r="BI7" s="2"/>
      <c r="BJ7" s="2" t="s">
        <v>184</v>
      </c>
      <c r="BK7" s="2"/>
      <c r="BL7" s="2"/>
      <c r="BM7" s="2"/>
      <c r="BN7" s="2"/>
      <c r="BO7" s="2"/>
      <c r="BP7" s="2" t="s">
        <v>185</v>
      </c>
      <c r="BQ7" s="2" t="s">
        <v>186</v>
      </c>
      <c r="BT7" s="2" t="s">
        <v>187</v>
      </c>
      <c r="BU7" s="2" t="s">
        <v>188</v>
      </c>
      <c r="BV7" s="2" t="s">
        <v>189</v>
      </c>
    </row>
    <row r="8" customFormat="false" ht="15" hidden="false" customHeight="false" outlineLevel="0" collapsed="false">
      <c r="A8" s="2" t="n">
        <v>0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s">
        <v>87</v>
      </c>
      <c r="H8" s="2" t="s">
        <v>87</v>
      </c>
      <c r="I8" s="2" t="n">
        <v>5901234567890</v>
      </c>
      <c r="J8" s="2" t="n">
        <v>9788807890432</v>
      </c>
      <c r="K8" s="3" t="s">
        <v>190</v>
      </c>
      <c r="L8" s="2" t="s">
        <v>191</v>
      </c>
      <c r="M8" s="2" t="s">
        <v>192</v>
      </c>
      <c r="N8" s="2" t="s">
        <v>193</v>
      </c>
      <c r="O8" s="2" t="s">
        <v>194</v>
      </c>
      <c r="P8" s="2" t="n">
        <v>20</v>
      </c>
      <c r="Q8" s="2" t="n">
        <v>1</v>
      </c>
      <c r="R8" s="2" t="n">
        <v>23.42</v>
      </c>
      <c r="S8" s="2" t="n">
        <f aca="false">R8/1.45</f>
        <v>16.151724137931</v>
      </c>
      <c r="T8" s="2" t="s">
        <v>80</v>
      </c>
      <c r="U8" s="2" t="n">
        <v>0</v>
      </c>
      <c r="V8" s="2" t="s">
        <v>195</v>
      </c>
      <c r="W8" s="2" t="n">
        <f aca="false">ROUND(R8*7/100,2)</f>
        <v>1.64</v>
      </c>
      <c r="X8" s="2" t="s">
        <v>196</v>
      </c>
      <c r="Y8" s="2" t="s">
        <v>196</v>
      </c>
      <c r="Z8" s="2"/>
      <c r="AA8" s="2" t="s">
        <v>197</v>
      </c>
      <c r="AB8" s="2" t="s">
        <v>198</v>
      </c>
      <c r="AC8" s="2" t="s">
        <v>199</v>
      </c>
      <c r="AD8" s="2" t="s">
        <v>200</v>
      </c>
      <c r="AE8" s="2" t="n">
        <v>2</v>
      </c>
      <c r="AF8" s="2"/>
      <c r="AG8" s="2"/>
      <c r="AH8" s="2"/>
      <c r="AI8" s="2"/>
      <c r="AJ8" s="2"/>
      <c r="AK8" s="2" t="s">
        <v>87</v>
      </c>
      <c r="AL8" s="2"/>
      <c r="AM8" s="2"/>
      <c r="AN8" s="2" t="s">
        <v>87</v>
      </c>
      <c r="AO8" s="2" t="s">
        <v>88</v>
      </c>
      <c r="AP8" s="2" t="s">
        <v>201</v>
      </c>
      <c r="AQ8" s="2" t="s">
        <v>87</v>
      </c>
      <c r="AR8" s="2" t="s">
        <v>74</v>
      </c>
      <c r="AS8" s="2" t="s">
        <v>90</v>
      </c>
      <c r="AT8" s="2" t="n">
        <v>0</v>
      </c>
      <c r="AU8" s="2" t="n">
        <v>0</v>
      </c>
      <c r="AV8" s="2" t="n">
        <v>0</v>
      </c>
      <c r="AW8" s="2" t="s">
        <v>202</v>
      </c>
      <c r="AX8" s="2" t="s">
        <v>87</v>
      </c>
      <c r="AY8" s="2" t="s">
        <v>92</v>
      </c>
      <c r="AZ8" s="2" t="s">
        <v>92</v>
      </c>
      <c r="BA8" s="2" t="n">
        <v>3</v>
      </c>
      <c r="BB8" s="2"/>
      <c r="BC8" s="2"/>
      <c r="BE8" s="2" t="s">
        <v>203</v>
      </c>
      <c r="BF8" s="2"/>
      <c r="BG8" s="2"/>
      <c r="BH8" s="2"/>
      <c r="BI8" s="2"/>
      <c r="BJ8" s="2" t="s">
        <v>204</v>
      </c>
      <c r="BK8" s="2"/>
      <c r="BL8" s="2"/>
      <c r="BM8" s="2"/>
      <c r="BN8" s="2"/>
      <c r="BO8" s="2"/>
    </row>
    <row r="9" customFormat="false" ht="15" hidden="false" customHeight="false" outlineLevel="0" collapsed="false">
      <c r="A9" s="2" t="n">
        <v>0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s">
        <v>74</v>
      </c>
      <c r="H9" s="2" t="s">
        <v>87</v>
      </c>
      <c r="I9" s="2" t="n">
        <v>1234567890123</v>
      </c>
      <c r="J9" s="2" t="n">
        <v>9788835721984</v>
      </c>
      <c r="K9" s="3" t="s">
        <v>205</v>
      </c>
      <c r="L9" s="2" t="s">
        <v>206</v>
      </c>
      <c r="M9" s="2" t="s">
        <v>207</v>
      </c>
      <c r="N9" s="2" t="s">
        <v>124</v>
      </c>
      <c r="O9" s="2" t="s">
        <v>208</v>
      </c>
      <c r="P9" s="2" t="n">
        <v>12</v>
      </c>
      <c r="Q9" s="2" t="n">
        <v>1</v>
      </c>
      <c r="R9" s="2" t="n">
        <v>84.76</v>
      </c>
      <c r="S9" s="2" t="n">
        <f aca="false">R9/1.45</f>
        <v>58.4551724137931</v>
      </c>
      <c r="T9" s="2" t="s">
        <v>80</v>
      </c>
      <c r="U9" s="2" t="n">
        <v>0</v>
      </c>
      <c r="V9" s="2" t="s">
        <v>209</v>
      </c>
      <c r="W9" s="2" t="n">
        <f aca="false">ROUND(R9*7/100,2)</f>
        <v>5.93</v>
      </c>
      <c r="X9" s="2" t="s">
        <v>210</v>
      </c>
      <c r="Y9" s="2" t="s">
        <v>210</v>
      </c>
      <c r="Z9" s="2"/>
      <c r="AA9" s="2" t="s">
        <v>211</v>
      </c>
      <c r="AB9" s="2" t="s">
        <v>212</v>
      </c>
      <c r="AC9" s="2" t="s">
        <v>213</v>
      </c>
      <c r="AD9" s="2" t="s">
        <v>214</v>
      </c>
      <c r="AE9" s="2" t="n">
        <v>2</v>
      </c>
      <c r="AF9" s="2"/>
      <c r="AG9" s="2"/>
      <c r="AH9" s="2"/>
      <c r="AI9" s="2"/>
      <c r="AJ9" s="2"/>
      <c r="AK9" s="2" t="s">
        <v>87</v>
      </c>
      <c r="AL9" s="2"/>
      <c r="AM9" s="2"/>
      <c r="AN9" s="2" t="s">
        <v>87</v>
      </c>
      <c r="AO9" s="2" t="s">
        <v>88</v>
      </c>
      <c r="AP9" s="2" t="s">
        <v>89</v>
      </c>
      <c r="AQ9" s="2" t="s">
        <v>74</v>
      </c>
      <c r="AR9" s="2" t="s">
        <v>74</v>
      </c>
      <c r="AS9" s="2" t="s">
        <v>90</v>
      </c>
      <c r="AT9" s="2" t="n">
        <v>0</v>
      </c>
      <c r="AU9" s="2" t="n">
        <v>0</v>
      </c>
      <c r="AV9" s="2" t="n">
        <v>0</v>
      </c>
      <c r="AW9" s="2" t="s">
        <v>79</v>
      </c>
      <c r="AX9" s="2" t="s">
        <v>74</v>
      </c>
      <c r="AY9" s="2" t="s">
        <v>92</v>
      </c>
      <c r="AZ9" s="2" t="s">
        <v>92</v>
      </c>
      <c r="BA9" s="2" t="n">
        <v>3</v>
      </c>
      <c r="BB9" s="2"/>
      <c r="BC9" s="2"/>
      <c r="BE9" s="2" t="s">
        <v>215</v>
      </c>
      <c r="BF9" s="2"/>
      <c r="BG9" s="2"/>
      <c r="BH9" s="2"/>
      <c r="BI9" s="2"/>
      <c r="BJ9" s="2" t="s">
        <v>216</v>
      </c>
      <c r="BK9" s="2" t="s">
        <v>95</v>
      </c>
      <c r="BL9" s="2"/>
      <c r="BM9" s="2"/>
      <c r="BN9" s="2"/>
      <c r="BO9" s="2"/>
    </row>
    <row r="10" customFormat="false" ht="15" hidden="false" customHeight="false" outlineLevel="0" collapsed="false">
      <c r="A10" s="2" t="n">
        <v>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s">
        <v>87</v>
      </c>
      <c r="H10" s="2" t="s">
        <v>74</v>
      </c>
      <c r="I10" s="2" t="n">
        <v>4012345123456</v>
      </c>
      <c r="J10" s="2" t="n">
        <v>9788845423767</v>
      </c>
      <c r="K10" s="3" t="s">
        <v>217</v>
      </c>
      <c r="L10" s="2" t="s">
        <v>218</v>
      </c>
      <c r="M10" s="2" t="s">
        <v>219</v>
      </c>
      <c r="N10" s="2" t="s">
        <v>220</v>
      </c>
      <c r="O10" s="2" t="s">
        <v>221</v>
      </c>
      <c r="P10" s="2" t="n">
        <v>6</v>
      </c>
      <c r="Q10" s="2" t="n">
        <v>1</v>
      </c>
      <c r="R10" s="2" t="n">
        <v>85.59</v>
      </c>
      <c r="S10" s="2" t="n">
        <f aca="false">R10/1.45</f>
        <v>59.0275862068966</v>
      </c>
      <c r="T10" s="2" t="s">
        <v>80</v>
      </c>
      <c r="U10" s="2" t="n">
        <v>0</v>
      </c>
      <c r="V10" s="2" t="s">
        <v>222</v>
      </c>
      <c r="W10" s="2" t="n">
        <f aca="false">ROUND(R10*7/100,2)</f>
        <v>5.99</v>
      </c>
      <c r="X10" s="2" t="s">
        <v>223</v>
      </c>
      <c r="Y10" s="2" t="s">
        <v>223</v>
      </c>
      <c r="Z10" s="2"/>
      <c r="AA10" s="2" t="s">
        <v>224</v>
      </c>
      <c r="AB10" s="2" t="s">
        <v>225</v>
      </c>
      <c r="AC10" s="2" t="s">
        <v>226</v>
      </c>
      <c r="AD10" s="2" t="s">
        <v>227</v>
      </c>
      <c r="AE10" s="2" t="n">
        <v>2</v>
      </c>
      <c r="AF10" s="2"/>
      <c r="AG10" s="2"/>
      <c r="AH10" s="2"/>
      <c r="AI10" s="2"/>
      <c r="AJ10" s="2"/>
      <c r="AK10" s="2" t="s">
        <v>87</v>
      </c>
      <c r="AL10" s="2"/>
      <c r="AM10" s="2"/>
      <c r="AN10" s="2" t="s">
        <v>87</v>
      </c>
      <c r="AO10" s="2" t="s">
        <v>88</v>
      </c>
      <c r="AP10" s="2" t="s">
        <v>89</v>
      </c>
      <c r="AQ10" s="2" t="s">
        <v>87</v>
      </c>
      <c r="AR10" s="2" t="s">
        <v>87</v>
      </c>
      <c r="AS10" s="2" t="s">
        <v>90</v>
      </c>
      <c r="AT10" s="2" t="n">
        <v>0</v>
      </c>
      <c r="AU10" s="2" t="n">
        <v>0</v>
      </c>
      <c r="AV10" s="2" t="n">
        <v>0</v>
      </c>
      <c r="AW10" s="2" t="s">
        <v>193</v>
      </c>
      <c r="AX10" s="2" t="s">
        <v>74</v>
      </c>
      <c r="AY10" s="2" t="s">
        <v>92</v>
      </c>
      <c r="AZ10" s="2" t="s">
        <v>92</v>
      </c>
      <c r="BA10" s="2" t="n">
        <v>3</v>
      </c>
      <c r="BB10" s="2"/>
      <c r="BC10" s="2"/>
      <c r="BE10" s="2" t="s">
        <v>228</v>
      </c>
      <c r="BF10" s="2"/>
      <c r="BG10" s="2"/>
      <c r="BH10" s="2"/>
      <c r="BI10" s="2"/>
      <c r="BJ10" s="2" t="s">
        <v>229</v>
      </c>
      <c r="BK10" s="2" t="s">
        <v>95</v>
      </c>
      <c r="BL10" s="2"/>
      <c r="BM10" s="2"/>
      <c r="BN10" s="2"/>
      <c r="BO10" s="2"/>
    </row>
    <row r="11" customFormat="false" ht="15" hidden="false" customHeight="false" outlineLevel="0" collapsed="false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s">
        <v>74</v>
      </c>
      <c r="H11" s="2" t="s">
        <v>87</v>
      </c>
      <c r="I11" s="2" t="n">
        <v>9783161484100</v>
      </c>
      <c r="J11" s="2" t="n">
        <v>9788809987654</v>
      </c>
      <c r="K11" s="3" t="s">
        <v>230</v>
      </c>
      <c r="L11" s="2" t="s">
        <v>231</v>
      </c>
      <c r="M11" s="2" t="s">
        <v>232</v>
      </c>
      <c r="N11" s="2" t="s">
        <v>233</v>
      </c>
      <c r="O11" s="2" t="s">
        <v>234</v>
      </c>
      <c r="P11" s="2" t="n">
        <v>25</v>
      </c>
      <c r="Q11" s="2" t="n">
        <v>1</v>
      </c>
      <c r="R11" s="2" t="n">
        <v>56.52</v>
      </c>
      <c r="S11" s="2" t="n">
        <f aca="false">R11/1.45</f>
        <v>38.9793103448276</v>
      </c>
      <c r="T11" s="2" t="s">
        <v>80</v>
      </c>
      <c r="U11" s="2" t="n">
        <v>0</v>
      </c>
      <c r="V11" s="2" t="s">
        <v>235</v>
      </c>
      <c r="W11" s="2" t="n">
        <f aca="false">ROUND(R11*7/100,2)</f>
        <v>3.96</v>
      </c>
      <c r="X11" s="2" t="s">
        <v>236</v>
      </c>
      <c r="Y11" s="2" t="s">
        <v>236</v>
      </c>
      <c r="Z11" s="2"/>
      <c r="AA11" s="2" t="s">
        <v>237</v>
      </c>
      <c r="AB11" s="2" t="s">
        <v>238</v>
      </c>
      <c r="AC11" s="2" t="s">
        <v>239</v>
      </c>
      <c r="AD11" s="2" t="s">
        <v>240</v>
      </c>
      <c r="AE11" s="2" t="n">
        <v>2</v>
      </c>
      <c r="AF11" s="2"/>
      <c r="AG11" s="2"/>
      <c r="AH11" s="2"/>
      <c r="AI11" s="2"/>
      <c r="AJ11" s="2"/>
      <c r="AK11" s="2" t="s">
        <v>87</v>
      </c>
      <c r="AL11" s="2"/>
      <c r="AM11" s="2"/>
      <c r="AN11" s="2" t="s">
        <v>87</v>
      </c>
      <c r="AO11" s="2" t="s">
        <v>88</v>
      </c>
      <c r="AP11" s="2" t="s">
        <v>89</v>
      </c>
      <c r="AQ11" s="2" t="s">
        <v>74</v>
      </c>
      <c r="AR11" s="2" t="s">
        <v>74</v>
      </c>
      <c r="AS11" s="2" t="s">
        <v>90</v>
      </c>
      <c r="AT11" s="2" t="n">
        <v>0</v>
      </c>
      <c r="AU11" s="2" t="n">
        <v>0</v>
      </c>
      <c r="AV11" s="2" t="n">
        <v>0</v>
      </c>
      <c r="AW11" s="2" t="s">
        <v>241</v>
      </c>
      <c r="AX11" s="2" t="s">
        <v>87</v>
      </c>
      <c r="AY11" s="2" t="s">
        <v>92</v>
      </c>
      <c r="AZ11" s="2" t="s">
        <v>92</v>
      </c>
      <c r="BA11" s="2" t="n">
        <v>3</v>
      </c>
      <c r="BB11" s="2"/>
      <c r="BC11" s="2"/>
      <c r="BE11" s="2" t="s">
        <v>242</v>
      </c>
      <c r="BF11" s="2"/>
      <c r="BG11" s="2"/>
      <c r="BH11" s="2"/>
      <c r="BI11" s="2"/>
      <c r="BJ11" s="2" t="s">
        <v>243</v>
      </c>
      <c r="BK11" s="2"/>
      <c r="BL11" s="2"/>
      <c r="BM11" s="2"/>
      <c r="BN11" s="2"/>
      <c r="BO11" s="2"/>
    </row>
    <row r="12" customFormat="false" ht="15" hidden="false" customHeight="false" outlineLevel="0" collapsed="false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s">
        <v>74</v>
      </c>
      <c r="H12" s="2" t="s">
        <v>87</v>
      </c>
      <c r="I12" s="2" t="n">
        <v>5901239876543</v>
      </c>
      <c r="J12" s="2" t="n">
        <v>9788831800457</v>
      </c>
      <c r="K12" s="3" t="s">
        <v>244</v>
      </c>
      <c r="L12" s="2" t="s">
        <v>245</v>
      </c>
      <c r="M12" s="2" t="s">
        <v>246</v>
      </c>
      <c r="N12" s="2" t="s">
        <v>107</v>
      </c>
      <c r="O12" s="2" t="s">
        <v>202</v>
      </c>
      <c r="P12" s="2" t="n">
        <v>4</v>
      </c>
      <c r="Q12" s="2" t="n">
        <v>1</v>
      </c>
      <c r="R12" s="2" t="n">
        <v>54.81</v>
      </c>
      <c r="S12" s="2" t="n">
        <f aca="false">R12/1.45</f>
        <v>37.8</v>
      </c>
      <c r="T12" s="2" t="s">
        <v>80</v>
      </c>
      <c r="U12" s="2" t="n">
        <v>0</v>
      </c>
      <c r="V12" s="2" t="s">
        <v>247</v>
      </c>
      <c r="W12" s="2" t="n">
        <f aca="false">ROUND(R12*7/100,2)</f>
        <v>3.84</v>
      </c>
      <c r="X12" s="2" t="s">
        <v>248</v>
      </c>
      <c r="Y12" s="2" t="s">
        <v>248</v>
      </c>
      <c r="Z12" s="2"/>
      <c r="AA12" s="2" t="s">
        <v>249</v>
      </c>
      <c r="AB12" s="2" t="s">
        <v>250</v>
      </c>
      <c r="AC12" s="2" t="s">
        <v>251</v>
      </c>
      <c r="AD12" s="2" t="s">
        <v>252</v>
      </c>
      <c r="AE12" s="2" t="n">
        <v>2</v>
      </c>
      <c r="AF12" s="2"/>
      <c r="AG12" s="2"/>
      <c r="AH12" s="2"/>
      <c r="AI12" s="2"/>
      <c r="AJ12" s="2"/>
      <c r="AK12" s="2" t="s">
        <v>87</v>
      </c>
      <c r="AL12" s="2"/>
      <c r="AM12" s="2"/>
      <c r="AN12" s="2" t="s">
        <v>87</v>
      </c>
      <c r="AO12" s="2" t="s">
        <v>88</v>
      </c>
      <c r="AP12" s="2" t="s">
        <v>89</v>
      </c>
      <c r="AQ12" s="2" t="s">
        <v>74</v>
      </c>
      <c r="AR12" s="2" t="s">
        <v>74</v>
      </c>
      <c r="AS12" s="2" t="s">
        <v>90</v>
      </c>
      <c r="AT12" s="2" t="n">
        <v>0</v>
      </c>
      <c r="AU12" s="2" t="n">
        <v>0</v>
      </c>
      <c r="AV12" s="2" t="n">
        <v>0</v>
      </c>
      <c r="AW12" s="2" t="s">
        <v>79</v>
      </c>
      <c r="AX12" s="2" t="s">
        <v>87</v>
      </c>
      <c r="AY12" s="2" t="s">
        <v>92</v>
      </c>
      <c r="AZ12" s="2" t="s">
        <v>92</v>
      </c>
      <c r="BA12" s="2" t="n">
        <v>3</v>
      </c>
      <c r="BB12" s="2"/>
      <c r="BC12" s="2"/>
      <c r="BE12" s="2" t="s">
        <v>253</v>
      </c>
      <c r="BF12" s="2"/>
      <c r="BG12" s="2"/>
      <c r="BH12" s="2"/>
      <c r="BI12" s="2"/>
      <c r="BJ12" s="2" t="s">
        <v>254</v>
      </c>
      <c r="BK12" s="2" t="s">
        <v>95</v>
      </c>
      <c r="BL12" s="2"/>
      <c r="BM12" s="2"/>
      <c r="BN12" s="2"/>
      <c r="BO12" s="2"/>
    </row>
    <row r="13" customFormat="false" ht="15" hidden="false" customHeight="false" outlineLevel="0" collapsed="false">
      <c r="A13" s="2" t="n">
        <v>0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s">
        <v>87</v>
      </c>
      <c r="H13" s="2" t="s">
        <v>74</v>
      </c>
      <c r="I13" s="2" t="n">
        <v>1234512345123</v>
      </c>
      <c r="J13" s="2" t="n">
        <v>9788854189762</v>
      </c>
      <c r="K13" s="3" t="s">
        <v>255</v>
      </c>
      <c r="L13" s="2" t="s">
        <v>256</v>
      </c>
      <c r="M13" s="2" t="s">
        <v>257</v>
      </c>
      <c r="N13" s="2" t="s">
        <v>258</v>
      </c>
      <c r="O13" s="2" t="s">
        <v>259</v>
      </c>
      <c r="P13" s="2" t="n">
        <v>30</v>
      </c>
      <c r="Q13" s="2" t="n">
        <v>0</v>
      </c>
      <c r="R13" s="2" t="n">
        <v>20.77</v>
      </c>
      <c r="S13" s="2" t="n">
        <f aca="false">R13/1.45</f>
        <v>14.3241379310345</v>
      </c>
      <c r="T13" s="2" t="s">
        <v>80</v>
      </c>
      <c r="U13" s="2" t="n">
        <v>0</v>
      </c>
      <c r="V13" s="2" t="s">
        <v>260</v>
      </c>
      <c r="W13" s="2" t="n">
        <f aca="false">ROUND(R13*7/100,2)</f>
        <v>1.45</v>
      </c>
      <c r="X13" s="2" t="s">
        <v>261</v>
      </c>
      <c r="Y13" s="2" t="s">
        <v>261</v>
      </c>
      <c r="Z13" s="2"/>
      <c r="AA13" s="2" t="s">
        <v>262</v>
      </c>
      <c r="AB13" s="2" t="s">
        <v>263</v>
      </c>
      <c r="AC13" s="2" t="s">
        <v>264</v>
      </c>
      <c r="AD13" s="2" t="s">
        <v>265</v>
      </c>
      <c r="AE13" s="2" t="n">
        <v>2</v>
      </c>
      <c r="AF13" s="2"/>
      <c r="AG13" s="2"/>
      <c r="AH13" s="2"/>
      <c r="AI13" s="2"/>
      <c r="AJ13" s="2"/>
      <c r="AK13" s="2" t="s">
        <v>87</v>
      </c>
      <c r="AL13" s="2"/>
      <c r="AM13" s="2"/>
      <c r="AN13" s="2" t="s">
        <v>74</v>
      </c>
      <c r="AO13" s="2" t="s">
        <v>88</v>
      </c>
      <c r="AP13" s="2" t="s">
        <v>89</v>
      </c>
      <c r="AQ13" s="2" t="s">
        <v>87</v>
      </c>
      <c r="AR13" s="2" t="s">
        <v>74</v>
      </c>
      <c r="AS13" s="2" t="s">
        <v>90</v>
      </c>
      <c r="AT13" s="2" t="n">
        <v>0</v>
      </c>
      <c r="AU13" s="2" t="n">
        <v>0</v>
      </c>
      <c r="AV13" s="2" t="n">
        <v>0</v>
      </c>
      <c r="AW13" s="2" t="s">
        <v>266</v>
      </c>
      <c r="AX13" s="2" t="s">
        <v>87</v>
      </c>
      <c r="AY13" s="2" t="s">
        <v>92</v>
      </c>
      <c r="AZ13" s="2" t="s">
        <v>92</v>
      </c>
      <c r="BA13" s="2" t="n">
        <v>3</v>
      </c>
      <c r="BB13" s="2"/>
      <c r="BC13" s="2"/>
      <c r="BE13" s="2" t="s">
        <v>267</v>
      </c>
      <c r="BF13" s="2"/>
      <c r="BG13" s="2"/>
      <c r="BH13" s="2"/>
      <c r="BI13" s="2"/>
      <c r="BJ13" s="2" t="s">
        <v>268</v>
      </c>
      <c r="BK13" s="2"/>
      <c r="BL13" s="2"/>
      <c r="BM13" s="2"/>
      <c r="BN13" s="2"/>
      <c r="BO13" s="2"/>
    </row>
    <row r="14" customFormat="false" ht="15" hidden="false" customHeight="false" outlineLevel="0" collapsed="false">
      <c r="A14" s="2" t="n">
        <v>0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s">
        <v>74</v>
      </c>
      <c r="H14" s="2" t="s">
        <v>87</v>
      </c>
      <c r="I14" s="2" t="n">
        <v>4001234567890</v>
      </c>
      <c r="J14" s="2" t="n">
        <v>9788840987612</v>
      </c>
      <c r="K14" s="3" t="s">
        <v>269</v>
      </c>
      <c r="L14" s="2" t="s">
        <v>270</v>
      </c>
      <c r="M14" s="2" t="s">
        <v>271</v>
      </c>
      <c r="N14" s="2" t="s">
        <v>272</v>
      </c>
      <c r="O14" s="2" t="s">
        <v>273</v>
      </c>
      <c r="P14" s="2" t="n">
        <v>1</v>
      </c>
      <c r="Q14" s="2" t="n">
        <v>0</v>
      </c>
      <c r="R14" s="2" t="n">
        <v>33.28</v>
      </c>
      <c r="S14" s="2" t="n">
        <f aca="false">R14/1.45</f>
        <v>22.951724137931</v>
      </c>
      <c r="T14" s="2" t="s">
        <v>80</v>
      </c>
      <c r="U14" s="2" t="n">
        <v>0</v>
      </c>
      <c r="V14" s="2" t="s">
        <v>274</v>
      </c>
      <c r="W14" s="2" t="n">
        <f aca="false">ROUND(R14*7/100,2)</f>
        <v>2.33</v>
      </c>
      <c r="X14" s="2" t="s">
        <v>275</v>
      </c>
      <c r="Y14" s="2" t="s">
        <v>275</v>
      </c>
      <c r="Z14" s="2"/>
      <c r="AA14" s="2" t="s">
        <v>276</v>
      </c>
      <c r="AB14" s="2" t="s">
        <v>277</v>
      </c>
      <c r="AC14" s="2" t="s">
        <v>278</v>
      </c>
      <c r="AD14" s="2" t="s">
        <v>279</v>
      </c>
      <c r="AE14" s="2" t="n">
        <v>2</v>
      </c>
      <c r="AF14" s="2"/>
      <c r="AG14" s="2"/>
      <c r="AH14" s="2"/>
      <c r="AI14" s="2"/>
      <c r="AJ14" s="2"/>
      <c r="AK14" s="2" t="s">
        <v>74</v>
      </c>
      <c r="AL14" s="2"/>
      <c r="AM14" s="2"/>
      <c r="AN14" s="2" t="s">
        <v>74</v>
      </c>
      <c r="AO14" s="2" t="s">
        <v>88</v>
      </c>
      <c r="AP14" s="2" t="s">
        <v>89</v>
      </c>
      <c r="AQ14" s="2" t="s">
        <v>87</v>
      </c>
      <c r="AR14" s="2" t="s">
        <v>87</v>
      </c>
      <c r="AS14" s="2" t="s">
        <v>90</v>
      </c>
      <c r="AT14" s="2" t="n">
        <v>0</v>
      </c>
      <c r="AU14" s="2" t="n">
        <v>0</v>
      </c>
      <c r="AV14" s="2" t="n">
        <v>1</v>
      </c>
      <c r="AW14" s="2" t="s">
        <v>280</v>
      </c>
      <c r="AX14" s="2" t="s">
        <v>74</v>
      </c>
      <c r="AY14" s="2" t="s">
        <v>92</v>
      </c>
      <c r="AZ14" s="2" t="s">
        <v>92</v>
      </c>
      <c r="BA14" s="2" t="n">
        <v>3</v>
      </c>
      <c r="BB14" s="2"/>
      <c r="BC14" s="2"/>
      <c r="BE14" s="2" t="s">
        <v>281</v>
      </c>
      <c r="BF14" s="2"/>
      <c r="BG14" s="2"/>
      <c r="BH14" s="2"/>
      <c r="BI14" s="2"/>
      <c r="BJ14" s="2" t="s">
        <v>282</v>
      </c>
      <c r="BK14" s="2" t="s">
        <v>95</v>
      </c>
      <c r="BL14" s="2"/>
      <c r="BM14" s="2"/>
      <c r="BN14" s="2"/>
      <c r="BO14" s="2"/>
    </row>
    <row r="15" customFormat="false" ht="15" hidden="false" customHeight="false" outlineLevel="0" collapsed="false">
      <c r="A15" s="2" t="n">
        <v>0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s">
        <v>87</v>
      </c>
      <c r="H15" s="2" t="s">
        <v>74</v>
      </c>
      <c r="I15" s="2" t="n">
        <v>8001234567891</v>
      </c>
      <c r="J15" s="2" t="n">
        <v>9788811234560</v>
      </c>
      <c r="K15" s="3" t="s">
        <v>283</v>
      </c>
      <c r="L15" s="2" t="s">
        <v>284</v>
      </c>
      <c r="M15" s="2" t="s">
        <v>285</v>
      </c>
      <c r="N15" s="2" t="s">
        <v>286</v>
      </c>
      <c r="O15" s="2" t="s">
        <v>125</v>
      </c>
      <c r="P15" s="2" t="n">
        <v>50</v>
      </c>
      <c r="Q15" s="2" t="n">
        <v>0</v>
      </c>
      <c r="R15" s="2" t="n">
        <v>37.73</v>
      </c>
      <c r="S15" s="2" t="n">
        <f aca="false">R15/1.45</f>
        <v>26.0206896551724</v>
      </c>
      <c r="T15" s="2" t="s">
        <v>80</v>
      </c>
      <c r="U15" s="2" t="n">
        <v>0</v>
      </c>
      <c r="V15" s="2" t="s">
        <v>287</v>
      </c>
      <c r="W15" s="2" t="n">
        <f aca="false">ROUND(R15*7/100,2)</f>
        <v>2.64</v>
      </c>
      <c r="X15" s="2" t="s">
        <v>288</v>
      </c>
      <c r="Y15" s="2" t="s">
        <v>288</v>
      </c>
      <c r="Z15" s="2"/>
      <c r="AA15" s="2" t="s">
        <v>289</v>
      </c>
      <c r="AB15" s="2" t="s">
        <v>290</v>
      </c>
      <c r="AC15" s="2" t="s">
        <v>291</v>
      </c>
      <c r="AD15" s="2" t="s">
        <v>292</v>
      </c>
      <c r="AE15" s="2" t="n">
        <v>2</v>
      </c>
      <c r="AF15" s="2"/>
      <c r="AG15" s="2"/>
      <c r="AH15" s="2"/>
      <c r="AI15" s="2"/>
      <c r="AJ15" s="2"/>
      <c r="AK15" s="2" t="s">
        <v>87</v>
      </c>
      <c r="AL15" s="2"/>
      <c r="AM15" s="2"/>
      <c r="AN15" s="2" t="s">
        <v>87</v>
      </c>
      <c r="AO15" s="2" t="s">
        <v>88</v>
      </c>
      <c r="AP15" s="2" t="s">
        <v>293</v>
      </c>
      <c r="AQ15" s="2" t="s">
        <v>87</v>
      </c>
      <c r="AR15" s="2" t="s">
        <v>74</v>
      </c>
      <c r="AS15" s="2" t="s">
        <v>294</v>
      </c>
      <c r="AT15" s="2" t="n">
        <v>0</v>
      </c>
      <c r="AU15" s="2" t="n">
        <v>0</v>
      </c>
      <c r="AV15" s="2" t="n">
        <v>0</v>
      </c>
      <c r="AW15" s="2" t="s">
        <v>295</v>
      </c>
      <c r="AX15" s="2" t="s">
        <v>87</v>
      </c>
      <c r="AY15" s="2" t="s">
        <v>92</v>
      </c>
      <c r="AZ15" s="2" t="s">
        <v>92</v>
      </c>
      <c r="BA15" s="2" t="n">
        <v>3</v>
      </c>
      <c r="BB15" s="2"/>
      <c r="BC15" s="2"/>
      <c r="BE15" s="2" t="s">
        <v>296</v>
      </c>
      <c r="BF15" s="2"/>
      <c r="BG15" s="2"/>
      <c r="BH15" s="2"/>
      <c r="BI15" s="2"/>
      <c r="BJ15" s="2" t="s">
        <v>297</v>
      </c>
      <c r="BK15" s="2"/>
      <c r="BL15" s="2"/>
      <c r="BM15" s="2"/>
      <c r="BN15" s="2"/>
      <c r="BO15" s="2"/>
    </row>
    <row r="16" customFormat="false" ht="15" hidden="false" customHeight="false" outlineLevel="0" collapsed="false">
      <c r="A16" s="2" t="n">
        <v>0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s">
        <v>74</v>
      </c>
      <c r="H16" s="2" t="s">
        <v>74</v>
      </c>
      <c r="I16" s="2" t="n">
        <v>5905551234567</v>
      </c>
      <c r="J16" s="2" t="n">
        <v>9788832901874</v>
      </c>
      <c r="K16" s="3" t="s">
        <v>298</v>
      </c>
      <c r="L16" s="2" t="s">
        <v>299</v>
      </c>
      <c r="M16" s="2" t="s">
        <v>300</v>
      </c>
      <c r="N16" s="2" t="s">
        <v>233</v>
      </c>
      <c r="O16" s="2" t="s">
        <v>301</v>
      </c>
      <c r="P16" s="2" t="n">
        <v>7</v>
      </c>
      <c r="Q16" s="2" t="n">
        <v>0</v>
      </c>
      <c r="R16" s="2" t="n">
        <v>38.4</v>
      </c>
      <c r="S16" s="2" t="n">
        <f aca="false">R16/1.45</f>
        <v>26.4827586206897</v>
      </c>
      <c r="T16" s="2" t="s">
        <v>80</v>
      </c>
      <c r="U16" s="2" t="n">
        <v>0</v>
      </c>
      <c r="V16" s="2" t="s">
        <v>302</v>
      </c>
      <c r="W16" s="2" t="n">
        <f aca="false">ROUND(R16*7/100,2)</f>
        <v>2.69</v>
      </c>
      <c r="X16" s="2" t="s">
        <v>303</v>
      </c>
      <c r="Y16" s="2" t="s">
        <v>303</v>
      </c>
      <c r="Z16" s="2"/>
      <c r="AA16" s="2" t="s">
        <v>304</v>
      </c>
      <c r="AB16" s="2" t="s">
        <v>305</v>
      </c>
      <c r="AC16" s="2" t="s">
        <v>306</v>
      </c>
      <c r="AD16" s="2" t="s">
        <v>307</v>
      </c>
      <c r="AE16" s="2" t="n">
        <v>2</v>
      </c>
      <c r="AF16" s="2"/>
      <c r="AG16" s="2"/>
      <c r="AH16" s="2"/>
      <c r="AI16" s="2"/>
      <c r="AJ16" s="2"/>
      <c r="AK16" s="2" t="s">
        <v>87</v>
      </c>
      <c r="AL16" s="2"/>
      <c r="AM16" s="2"/>
      <c r="AN16" s="2" t="s">
        <v>74</v>
      </c>
      <c r="AO16" s="2" t="s">
        <v>88</v>
      </c>
      <c r="AP16" s="2" t="s">
        <v>89</v>
      </c>
      <c r="AQ16" s="2" t="s">
        <v>74</v>
      </c>
      <c r="AR16" s="2" t="s">
        <v>87</v>
      </c>
      <c r="AS16" s="2" t="s">
        <v>90</v>
      </c>
      <c r="AT16" s="2" t="n">
        <v>0</v>
      </c>
      <c r="AU16" s="2" t="n">
        <v>0</v>
      </c>
      <c r="AV16" s="2" t="n">
        <v>0</v>
      </c>
      <c r="AW16" s="2" t="s">
        <v>308</v>
      </c>
      <c r="AX16" s="2" t="s">
        <v>87</v>
      </c>
      <c r="AY16" s="2" t="s">
        <v>92</v>
      </c>
      <c r="AZ16" s="2" t="s">
        <v>92</v>
      </c>
      <c r="BA16" s="2" t="n">
        <v>3</v>
      </c>
      <c r="BB16" s="2"/>
      <c r="BC16" s="2"/>
      <c r="BE16" s="2" t="s">
        <v>309</v>
      </c>
      <c r="BF16" s="2"/>
      <c r="BG16" s="2"/>
      <c r="BH16" s="2"/>
      <c r="BI16" s="2"/>
      <c r="BJ16" s="2" t="s">
        <v>310</v>
      </c>
      <c r="BK16" s="2"/>
      <c r="BL16" s="2"/>
      <c r="BM16" s="2"/>
      <c r="BN16" s="2"/>
      <c r="BO16" s="2"/>
    </row>
    <row r="17" customFormat="false" ht="15" hidden="false" customHeight="false" outlineLevel="0" collapsed="false">
      <c r="A17" s="2" t="n">
        <v>0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s">
        <v>74</v>
      </c>
      <c r="H17" s="2" t="s">
        <v>87</v>
      </c>
      <c r="I17" s="2" t="n">
        <v>1234567890120</v>
      </c>
      <c r="J17" s="2" t="n">
        <v>9788804321098</v>
      </c>
      <c r="K17" s="3" t="s">
        <v>311</v>
      </c>
      <c r="L17" s="2" t="s">
        <v>312</v>
      </c>
      <c r="M17" s="2" t="s">
        <v>313</v>
      </c>
      <c r="N17" s="2" t="s">
        <v>194</v>
      </c>
      <c r="O17" s="2" t="s">
        <v>314</v>
      </c>
      <c r="P17" s="2" t="n">
        <v>24</v>
      </c>
      <c r="Q17" s="2" t="n">
        <v>0</v>
      </c>
      <c r="R17" s="2" t="n">
        <v>92.25</v>
      </c>
      <c r="S17" s="2" t="n">
        <f aca="false">R17/1.45</f>
        <v>63.6206896551724</v>
      </c>
      <c r="T17" s="2" t="s">
        <v>80</v>
      </c>
      <c r="U17" s="2" t="n">
        <v>0</v>
      </c>
      <c r="V17" s="2" t="s">
        <v>315</v>
      </c>
      <c r="W17" s="2" t="n">
        <f aca="false">ROUND(R17*7/100,2)</f>
        <v>6.46</v>
      </c>
      <c r="X17" s="2" t="s">
        <v>316</v>
      </c>
      <c r="Y17" s="2" t="s">
        <v>316</v>
      </c>
      <c r="Z17" s="2" t="s">
        <v>317</v>
      </c>
      <c r="AA17" s="2" t="s">
        <v>318</v>
      </c>
      <c r="AB17" s="2" t="s">
        <v>319</v>
      </c>
      <c r="AC17" s="2" t="s">
        <v>320</v>
      </c>
      <c r="AD17" s="2" t="s">
        <v>321</v>
      </c>
      <c r="AE17" s="2" t="n">
        <v>2</v>
      </c>
      <c r="AF17" s="2"/>
      <c r="AG17" s="2"/>
      <c r="AH17" s="2"/>
      <c r="AI17" s="2"/>
      <c r="AJ17" s="2"/>
      <c r="AK17" s="2" t="s">
        <v>74</v>
      </c>
      <c r="AL17" s="2"/>
      <c r="AM17" s="2"/>
      <c r="AN17" s="2" t="s">
        <v>87</v>
      </c>
      <c r="AO17" s="2" t="s">
        <v>88</v>
      </c>
      <c r="AP17" s="2" t="s">
        <v>89</v>
      </c>
      <c r="AQ17" s="2" t="s">
        <v>87</v>
      </c>
      <c r="AR17" s="2" t="s">
        <v>87</v>
      </c>
      <c r="AS17" s="2" t="s">
        <v>90</v>
      </c>
      <c r="AT17" s="2" t="n">
        <v>0</v>
      </c>
      <c r="AU17" s="2" t="n">
        <v>0</v>
      </c>
      <c r="AV17" s="2" t="n">
        <v>0</v>
      </c>
      <c r="AW17" s="2" t="s">
        <v>322</v>
      </c>
      <c r="AX17" s="2" t="s">
        <v>74</v>
      </c>
      <c r="AY17" s="2" t="s">
        <v>92</v>
      </c>
      <c r="AZ17" s="2" t="s">
        <v>92</v>
      </c>
      <c r="BA17" s="2" t="n">
        <v>3</v>
      </c>
      <c r="BB17" s="2"/>
      <c r="BC17" s="2"/>
      <c r="BE17" s="2" t="s">
        <v>323</v>
      </c>
      <c r="BF17" s="2"/>
      <c r="BG17" s="2"/>
      <c r="BH17" s="2"/>
      <c r="BI17" s="2"/>
      <c r="BJ17" s="2" t="s">
        <v>324</v>
      </c>
      <c r="BK17" s="2" t="s">
        <v>95</v>
      </c>
      <c r="BL17" s="2"/>
      <c r="BM17" s="2"/>
      <c r="BN17" s="2"/>
      <c r="BO17" s="2"/>
    </row>
    <row r="18" customFormat="false" ht="15" hidden="false" customHeight="false" outlineLevel="0" collapsed="false">
      <c r="A18" s="2" t="n">
        <v>0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s">
        <v>87</v>
      </c>
      <c r="H18" s="2" t="s">
        <v>87</v>
      </c>
      <c r="I18" s="2" t="n">
        <v>4012345123451</v>
      </c>
      <c r="J18" s="2" t="n">
        <v>9788856678901</v>
      </c>
      <c r="K18" s="3" t="s">
        <v>325</v>
      </c>
      <c r="L18" s="2" t="s">
        <v>326</v>
      </c>
      <c r="M18" s="2" t="s">
        <v>327</v>
      </c>
      <c r="N18" s="2" t="s">
        <v>328</v>
      </c>
      <c r="O18" s="2" t="s">
        <v>329</v>
      </c>
      <c r="P18" s="2" t="n">
        <v>100</v>
      </c>
      <c r="Q18" s="2" t="n">
        <v>1</v>
      </c>
      <c r="R18" s="2" t="n">
        <v>9.59</v>
      </c>
      <c r="S18" s="2" t="n">
        <f aca="false">R18/1.45</f>
        <v>6.61379310344828</v>
      </c>
      <c r="T18" s="2" t="s">
        <v>80</v>
      </c>
      <c r="U18" s="2" t="n">
        <v>0</v>
      </c>
      <c r="V18" s="2" t="s">
        <v>330</v>
      </c>
      <c r="W18" s="2" t="n">
        <f aca="false">ROUND(R18*7/100,2)</f>
        <v>0.67</v>
      </c>
      <c r="X18" s="2" t="s">
        <v>331</v>
      </c>
      <c r="Y18" s="2" t="s">
        <v>331</v>
      </c>
      <c r="Z18" s="2"/>
      <c r="AA18" s="2" t="s">
        <v>332</v>
      </c>
      <c r="AB18" s="2" t="s">
        <v>333</v>
      </c>
      <c r="AC18" s="2" t="s">
        <v>334</v>
      </c>
      <c r="AD18" s="2" t="s">
        <v>335</v>
      </c>
      <c r="AE18" s="2" t="n">
        <v>2</v>
      </c>
      <c r="AF18" s="2"/>
      <c r="AG18" s="2"/>
      <c r="AH18" s="2"/>
      <c r="AI18" s="2"/>
      <c r="AJ18" s="2"/>
      <c r="AK18" s="2" t="s">
        <v>74</v>
      </c>
      <c r="AL18" s="2"/>
      <c r="AM18" s="2"/>
      <c r="AN18" s="2" t="s">
        <v>74</v>
      </c>
      <c r="AO18" s="2" t="s">
        <v>88</v>
      </c>
      <c r="AP18" s="2" t="s">
        <v>293</v>
      </c>
      <c r="AQ18" s="2" t="s">
        <v>74</v>
      </c>
      <c r="AR18" s="2" t="s">
        <v>87</v>
      </c>
      <c r="AS18" s="2" t="s">
        <v>90</v>
      </c>
      <c r="AT18" s="2" t="n">
        <v>0</v>
      </c>
      <c r="AU18" s="2" t="n">
        <v>0</v>
      </c>
      <c r="AV18" s="2" t="n">
        <v>0</v>
      </c>
      <c r="AW18" s="2" t="s">
        <v>266</v>
      </c>
      <c r="AX18" s="2" t="s">
        <v>74</v>
      </c>
      <c r="AY18" s="2" t="s">
        <v>92</v>
      </c>
      <c r="AZ18" s="2" t="s">
        <v>92</v>
      </c>
      <c r="BA18" s="2" t="n">
        <v>3</v>
      </c>
      <c r="BB18" s="2"/>
      <c r="BC18" s="2"/>
      <c r="BE18" s="2" t="s">
        <v>336</v>
      </c>
      <c r="BF18" s="2"/>
      <c r="BG18" s="2"/>
      <c r="BH18" s="2"/>
      <c r="BI18" s="2"/>
      <c r="BJ18" s="2" t="s">
        <v>337</v>
      </c>
      <c r="BK18" s="2" t="s">
        <v>95</v>
      </c>
      <c r="BL18" s="2"/>
      <c r="BM18" s="2"/>
      <c r="BN18" s="2"/>
      <c r="BO18" s="2"/>
    </row>
    <row r="19" customFormat="false" ht="15" hidden="false" customHeight="false" outlineLevel="0" collapsed="false">
      <c r="A19" s="2" t="n">
        <v>0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s">
        <v>87</v>
      </c>
      <c r="H19" s="2" t="s">
        <v>87</v>
      </c>
      <c r="I19" s="2" t="n">
        <v>9780123456789</v>
      </c>
      <c r="J19" s="2" t="n">
        <v>9788845612378</v>
      </c>
      <c r="K19" s="3" t="s">
        <v>338</v>
      </c>
      <c r="L19" s="2" t="s">
        <v>339</v>
      </c>
      <c r="M19" s="2" t="s">
        <v>340</v>
      </c>
      <c r="N19" s="2" t="s">
        <v>341</v>
      </c>
      <c r="O19" s="2" t="s">
        <v>342</v>
      </c>
      <c r="P19" s="2" t="n">
        <v>9</v>
      </c>
      <c r="Q19" s="2" t="n">
        <v>1</v>
      </c>
      <c r="R19" s="2" t="n">
        <v>33.2</v>
      </c>
      <c r="S19" s="2" t="n">
        <f aca="false">R19/1.45</f>
        <v>22.8965517241379</v>
      </c>
      <c r="T19" s="2" t="s">
        <v>80</v>
      </c>
      <c r="U19" s="2" t="n">
        <v>0</v>
      </c>
      <c r="V19" s="2" t="s">
        <v>343</v>
      </c>
      <c r="W19" s="2" t="n">
        <f aca="false">ROUND(R19*7/100,2)</f>
        <v>2.32</v>
      </c>
      <c r="X19" s="2" t="s">
        <v>344</v>
      </c>
      <c r="Y19" s="2" t="s">
        <v>344</v>
      </c>
      <c r="Z19" s="2"/>
      <c r="AA19" s="2" t="s">
        <v>345</v>
      </c>
      <c r="AB19" s="2" t="s">
        <v>346</v>
      </c>
      <c r="AC19" s="2" t="s">
        <v>347</v>
      </c>
      <c r="AD19" s="2" t="s">
        <v>348</v>
      </c>
      <c r="AE19" s="2" t="n">
        <v>2</v>
      </c>
      <c r="AF19" s="2"/>
      <c r="AG19" s="2"/>
      <c r="AH19" s="2"/>
      <c r="AI19" s="2"/>
      <c r="AJ19" s="2"/>
      <c r="AK19" s="2" t="s">
        <v>74</v>
      </c>
      <c r="AL19" s="2"/>
      <c r="AM19" s="2"/>
      <c r="AN19" s="2" t="s">
        <v>74</v>
      </c>
      <c r="AO19" s="2" t="s">
        <v>88</v>
      </c>
      <c r="AP19" s="2" t="s">
        <v>89</v>
      </c>
      <c r="AQ19" s="2" t="s">
        <v>87</v>
      </c>
      <c r="AR19" s="2" t="s">
        <v>87</v>
      </c>
      <c r="AS19" s="2" t="s">
        <v>90</v>
      </c>
      <c r="AT19" s="2" t="n">
        <v>0</v>
      </c>
      <c r="AU19" s="2" t="n">
        <v>0</v>
      </c>
      <c r="AV19" s="2" t="n">
        <v>0</v>
      </c>
      <c r="AW19" s="2" t="s">
        <v>266</v>
      </c>
      <c r="AX19" s="2" t="s">
        <v>87</v>
      </c>
      <c r="AY19" s="2" t="s">
        <v>92</v>
      </c>
      <c r="AZ19" s="2" t="s">
        <v>92</v>
      </c>
      <c r="BA19" s="2" t="n">
        <v>3</v>
      </c>
      <c r="BB19" s="2"/>
      <c r="BC19" s="2"/>
      <c r="BE19" s="2" t="s">
        <v>349</v>
      </c>
      <c r="BF19" s="2"/>
      <c r="BG19" s="2"/>
      <c r="BH19" s="2"/>
      <c r="BI19" s="2"/>
      <c r="BJ19" s="2" t="s">
        <v>350</v>
      </c>
      <c r="BK19" s="2"/>
      <c r="BL19" s="2"/>
      <c r="BM19" s="2"/>
      <c r="BN19" s="2"/>
      <c r="BO19" s="2"/>
    </row>
    <row r="20" customFormat="false" ht="15" hidden="false" customHeight="false" outlineLevel="0" collapsed="false">
      <c r="A20" s="2" t="n">
        <v>0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s">
        <v>74</v>
      </c>
      <c r="H20" s="2" t="s">
        <v>74</v>
      </c>
      <c r="I20" s="2" t="n">
        <v>8001505023456</v>
      </c>
      <c r="J20" s="2" t="n">
        <v>9788813987654</v>
      </c>
      <c r="K20" s="3" t="s">
        <v>351</v>
      </c>
      <c r="L20" s="2" t="s">
        <v>352</v>
      </c>
      <c r="M20" s="2" t="s">
        <v>353</v>
      </c>
      <c r="N20" s="2" t="s">
        <v>354</v>
      </c>
      <c r="O20" s="2" t="s">
        <v>355</v>
      </c>
      <c r="P20" s="2" t="n">
        <v>18</v>
      </c>
      <c r="Q20" s="2" t="n">
        <v>1</v>
      </c>
      <c r="R20" s="2" t="n">
        <v>89.6</v>
      </c>
      <c r="S20" s="2" t="n">
        <f aca="false">R20/1.45</f>
        <v>61.7931034482759</v>
      </c>
      <c r="T20" s="2" t="s">
        <v>80</v>
      </c>
      <c r="U20" s="2" t="n">
        <v>0</v>
      </c>
      <c r="V20" s="2" t="s">
        <v>356</v>
      </c>
      <c r="W20" s="2" t="n">
        <f aca="false">ROUND(R20*7/100,2)</f>
        <v>6.27</v>
      </c>
      <c r="X20" s="2" t="s">
        <v>357</v>
      </c>
      <c r="Y20" s="2" t="s">
        <v>357</v>
      </c>
      <c r="Z20" s="2"/>
      <c r="AA20" s="2" t="s">
        <v>358</v>
      </c>
      <c r="AB20" s="2" t="s">
        <v>359</v>
      </c>
      <c r="AC20" s="2" t="s">
        <v>360</v>
      </c>
      <c r="AD20" s="2" t="s">
        <v>361</v>
      </c>
      <c r="AE20" s="2" t="n">
        <v>2</v>
      </c>
      <c r="AF20" s="2"/>
      <c r="AG20" s="2"/>
      <c r="AH20" s="2"/>
      <c r="AI20" s="2"/>
      <c r="AJ20" s="2"/>
      <c r="AK20" s="2" t="s">
        <v>87</v>
      </c>
      <c r="AL20" s="2"/>
      <c r="AM20" s="2"/>
      <c r="AN20" s="2" t="s">
        <v>74</v>
      </c>
      <c r="AO20" s="2" t="s">
        <v>88</v>
      </c>
      <c r="AP20" s="2" t="s">
        <v>89</v>
      </c>
      <c r="AQ20" s="2" t="s">
        <v>87</v>
      </c>
      <c r="AR20" s="2" t="s">
        <v>87</v>
      </c>
      <c r="AS20" s="2" t="s">
        <v>90</v>
      </c>
      <c r="AT20" s="2" t="n">
        <v>0</v>
      </c>
      <c r="AU20" s="2" t="n">
        <v>0</v>
      </c>
      <c r="AV20" s="2" t="n">
        <v>0</v>
      </c>
      <c r="AW20" s="2" t="s">
        <v>132</v>
      </c>
      <c r="AX20" s="2" t="s">
        <v>74</v>
      </c>
      <c r="AY20" s="2" t="s">
        <v>362</v>
      </c>
      <c r="AZ20" s="2" t="s">
        <v>362</v>
      </c>
      <c r="BA20" s="2" t="n">
        <v>3</v>
      </c>
      <c r="BB20" s="2"/>
      <c r="BC20" s="2"/>
      <c r="BE20" s="2" t="s">
        <v>363</v>
      </c>
      <c r="BF20" s="2"/>
      <c r="BG20" s="2"/>
      <c r="BH20" s="2"/>
      <c r="BI20" s="2"/>
      <c r="BJ20" s="2" t="s">
        <v>364</v>
      </c>
      <c r="BK20" s="2"/>
      <c r="BL20" s="2"/>
      <c r="BM20" s="2"/>
      <c r="BN20" s="2"/>
      <c r="BO20" s="2"/>
    </row>
    <row r="21" customFormat="false" ht="15" hidden="false" customHeight="false" outlineLevel="0" collapsed="false">
      <c r="A21" s="2" t="n">
        <v>0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s">
        <v>87</v>
      </c>
      <c r="H21" s="2" t="s">
        <v>87</v>
      </c>
      <c r="I21" s="2" t="n">
        <v>5901112223337</v>
      </c>
      <c r="J21" s="2" t="n">
        <v>9788830456789</v>
      </c>
      <c r="K21" s="3" t="s">
        <v>365</v>
      </c>
      <c r="L21" s="2" t="s">
        <v>366</v>
      </c>
      <c r="M21" s="2" t="s">
        <v>367</v>
      </c>
      <c r="N21" s="2" t="s">
        <v>79</v>
      </c>
      <c r="O21" s="2" t="s">
        <v>368</v>
      </c>
      <c r="P21" s="2" t="n">
        <v>60</v>
      </c>
      <c r="Q21" s="2" t="n">
        <v>1</v>
      </c>
      <c r="R21" s="2" t="n">
        <v>71.51</v>
      </c>
      <c r="S21" s="2" t="n">
        <f aca="false">R21/1.45</f>
        <v>49.3172413793104</v>
      </c>
      <c r="T21" s="2" t="s">
        <v>80</v>
      </c>
      <c r="U21" s="2" t="n">
        <v>0</v>
      </c>
      <c r="V21" s="2" t="s">
        <v>369</v>
      </c>
      <c r="W21" s="2" t="n">
        <f aca="false">ROUND(R21*7/100,2)</f>
        <v>5.01</v>
      </c>
      <c r="X21" s="2" t="s">
        <v>370</v>
      </c>
      <c r="Y21" s="2" t="s">
        <v>370</v>
      </c>
      <c r="Z21" s="2"/>
      <c r="AA21" s="2" t="s">
        <v>371</v>
      </c>
      <c r="AB21" s="2" t="s">
        <v>372</v>
      </c>
      <c r="AC21" s="2" t="s">
        <v>373</v>
      </c>
      <c r="AD21" s="2" t="s">
        <v>374</v>
      </c>
      <c r="AE21" s="2" t="n">
        <v>2</v>
      </c>
      <c r="AF21" s="2"/>
      <c r="AG21" s="2"/>
      <c r="AH21" s="2"/>
      <c r="AI21" s="2"/>
      <c r="AJ21" s="2"/>
      <c r="AK21" s="2" t="s">
        <v>87</v>
      </c>
      <c r="AL21" s="2"/>
      <c r="AM21" s="2"/>
      <c r="AN21" s="2" t="s">
        <v>74</v>
      </c>
      <c r="AO21" s="2" t="s">
        <v>88</v>
      </c>
      <c r="AP21" s="2" t="s">
        <v>89</v>
      </c>
      <c r="AQ21" s="2" t="s">
        <v>74</v>
      </c>
      <c r="AR21" s="2" t="s">
        <v>87</v>
      </c>
      <c r="AS21" s="2" t="s">
        <v>375</v>
      </c>
      <c r="AT21" s="2" t="n">
        <v>0</v>
      </c>
      <c r="AU21" s="2" t="n">
        <v>0</v>
      </c>
      <c r="AV21" s="2" t="n">
        <v>1</v>
      </c>
      <c r="AW21" s="2" t="s">
        <v>376</v>
      </c>
      <c r="AX21" s="2" t="s">
        <v>87</v>
      </c>
      <c r="AY21" s="2" t="s">
        <v>362</v>
      </c>
      <c r="AZ21" s="2" t="s">
        <v>362</v>
      </c>
      <c r="BA21" s="2" t="n">
        <v>3</v>
      </c>
      <c r="BB21" s="2"/>
      <c r="BC21" s="2"/>
      <c r="BE21" s="2" t="s">
        <v>377</v>
      </c>
      <c r="BF21" s="2"/>
      <c r="BG21" s="2"/>
      <c r="BH21" s="2"/>
      <c r="BI21" s="2"/>
      <c r="BJ21" s="2" t="s">
        <v>378</v>
      </c>
      <c r="BK21" s="2"/>
      <c r="BL21" s="2"/>
      <c r="BM21" s="2"/>
      <c r="BN21" s="2"/>
      <c r="BO21" s="2"/>
    </row>
    <row r="22" customFormat="false" ht="15" hidden="false" customHeight="false" outlineLevel="0" collapsed="false">
      <c r="A22" s="2" t="n">
        <v>0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s">
        <v>87</v>
      </c>
      <c r="H22" s="2" t="s">
        <v>87</v>
      </c>
      <c r="I22" s="2" t="n">
        <v>1234567890124</v>
      </c>
      <c r="J22" s="2" t="n">
        <v>9788801765432</v>
      </c>
      <c r="K22" s="3" t="s">
        <v>379</v>
      </c>
      <c r="L22" s="2" t="s">
        <v>380</v>
      </c>
      <c r="M22" s="2" t="s">
        <v>381</v>
      </c>
      <c r="N22" s="2" t="s">
        <v>382</v>
      </c>
      <c r="O22" s="2" t="s">
        <v>160</v>
      </c>
      <c r="P22" s="2" t="n">
        <v>14</v>
      </c>
      <c r="Q22" s="2" t="n">
        <v>1</v>
      </c>
      <c r="R22" s="2" t="n">
        <v>80.98</v>
      </c>
      <c r="S22" s="2" t="n">
        <f aca="false">R22/1.45</f>
        <v>55.848275862069</v>
      </c>
      <c r="T22" s="2" t="s">
        <v>80</v>
      </c>
      <c r="U22" s="2" t="n">
        <v>0</v>
      </c>
      <c r="V22" s="2" t="s">
        <v>383</v>
      </c>
      <c r="W22" s="2" t="n">
        <f aca="false">ROUND(R22*7/100,2)</f>
        <v>5.67</v>
      </c>
      <c r="X22" s="2" t="s">
        <v>384</v>
      </c>
      <c r="Y22" s="2" t="s">
        <v>384</v>
      </c>
      <c r="Z22" s="2"/>
      <c r="AA22" s="2" t="s">
        <v>385</v>
      </c>
      <c r="AB22" s="2" t="s">
        <v>386</v>
      </c>
      <c r="AC22" s="2" t="s">
        <v>387</v>
      </c>
      <c r="AD22" s="2" t="s">
        <v>388</v>
      </c>
      <c r="AE22" s="2" t="n">
        <v>2</v>
      </c>
      <c r="AF22" s="2"/>
      <c r="AG22" s="2"/>
      <c r="AH22" s="2"/>
      <c r="AI22" s="2"/>
      <c r="AJ22" s="2"/>
      <c r="AK22" s="2" t="s">
        <v>87</v>
      </c>
      <c r="AL22" s="2"/>
      <c r="AM22" s="2"/>
      <c r="AN22" s="2" t="s">
        <v>87</v>
      </c>
      <c r="AO22" s="2" t="s">
        <v>88</v>
      </c>
      <c r="AP22" s="2" t="s">
        <v>293</v>
      </c>
      <c r="AQ22" s="2" t="s">
        <v>87</v>
      </c>
      <c r="AR22" s="2" t="s">
        <v>74</v>
      </c>
      <c r="AS22" s="2" t="s">
        <v>90</v>
      </c>
      <c r="AT22" s="2" t="n">
        <v>0</v>
      </c>
      <c r="AU22" s="2" t="n">
        <v>0</v>
      </c>
      <c r="AV22" s="2" t="n">
        <v>0</v>
      </c>
      <c r="AW22" s="2" t="s">
        <v>368</v>
      </c>
      <c r="AX22" s="2" t="s">
        <v>74</v>
      </c>
      <c r="AY22" s="2" t="s">
        <v>362</v>
      </c>
      <c r="AZ22" s="2" t="s">
        <v>362</v>
      </c>
      <c r="BA22" s="2" t="n">
        <v>3</v>
      </c>
      <c r="BB22" s="2"/>
      <c r="BC22" s="2"/>
      <c r="BE22" s="2" t="s">
        <v>389</v>
      </c>
      <c r="BF22" s="2"/>
      <c r="BG22" s="2"/>
      <c r="BH22" s="2"/>
      <c r="BI22" s="2"/>
      <c r="BJ22" s="2" t="s">
        <v>390</v>
      </c>
      <c r="BK22" s="2"/>
      <c r="BL22" s="2"/>
      <c r="BM22" s="2"/>
      <c r="BN22" s="2"/>
      <c r="BO22" s="2"/>
    </row>
    <row r="23" customFormat="false" ht="15" hidden="false" customHeight="false" outlineLevel="0" collapsed="false">
      <c r="A23" s="2" t="n">
        <v>0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s">
        <v>74</v>
      </c>
      <c r="H23" s="2" t="s">
        <v>87</v>
      </c>
      <c r="I23" s="2" t="n">
        <v>4006381333932</v>
      </c>
      <c r="J23" s="2" t="n">
        <v>9788852198760</v>
      </c>
      <c r="K23" s="3" t="s">
        <v>391</v>
      </c>
      <c r="L23" s="2" t="s">
        <v>392</v>
      </c>
      <c r="M23" s="2" t="s">
        <v>393</v>
      </c>
      <c r="N23" s="2" t="s">
        <v>394</v>
      </c>
      <c r="O23" s="2" t="s">
        <v>258</v>
      </c>
      <c r="P23" s="2" t="n">
        <v>75</v>
      </c>
      <c r="Q23" s="2" t="n">
        <v>1</v>
      </c>
      <c r="R23" s="2" t="n">
        <v>73.3</v>
      </c>
      <c r="S23" s="2" t="n">
        <f aca="false">R23/1.45</f>
        <v>50.551724137931</v>
      </c>
      <c r="T23" s="2" t="s">
        <v>80</v>
      </c>
      <c r="U23" s="2" t="n">
        <v>0</v>
      </c>
      <c r="V23" s="2" t="s">
        <v>395</v>
      </c>
      <c r="W23" s="2" t="n">
        <f aca="false">ROUND(R23*7/100,2)</f>
        <v>5.13</v>
      </c>
      <c r="X23" s="2" t="s">
        <v>396</v>
      </c>
      <c r="Y23" s="2" t="s">
        <v>396</v>
      </c>
      <c r="Z23" s="2"/>
      <c r="AA23" s="2" t="s">
        <v>397</v>
      </c>
      <c r="AB23" s="2" t="s">
        <v>398</v>
      </c>
      <c r="AC23" s="2" t="s">
        <v>399</v>
      </c>
      <c r="AD23" s="2" t="s">
        <v>400</v>
      </c>
      <c r="AE23" s="2" t="n">
        <v>2</v>
      </c>
      <c r="AF23" s="2"/>
      <c r="AG23" s="2"/>
      <c r="AH23" s="2"/>
      <c r="AI23" s="2"/>
      <c r="AJ23" s="2"/>
      <c r="AK23" s="2" t="s">
        <v>87</v>
      </c>
      <c r="AL23" s="2"/>
      <c r="AM23" s="2"/>
      <c r="AN23" s="2" t="s">
        <v>74</v>
      </c>
      <c r="AO23" s="2" t="s">
        <v>88</v>
      </c>
      <c r="AP23" s="2" t="s">
        <v>89</v>
      </c>
      <c r="AQ23" s="2" t="s">
        <v>87</v>
      </c>
      <c r="AR23" s="2" t="s">
        <v>74</v>
      </c>
      <c r="AS23" s="2" t="s">
        <v>90</v>
      </c>
      <c r="AT23" s="2" t="n">
        <v>0</v>
      </c>
      <c r="AU23" s="2" t="n">
        <v>0</v>
      </c>
      <c r="AV23" s="2" t="n">
        <v>0</v>
      </c>
      <c r="AW23" s="2" t="s">
        <v>91</v>
      </c>
      <c r="AX23" s="2" t="s">
        <v>87</v>
      </c>
      <c r="AY23" s="2" t="s">
        <v>362</v>
      </c>
      <c r="AZ23" s="2" t="s">
        <v>362</v>
      </c>
      <c r="BA23" s="2" t="n">
        <v>3</v>
      </c>
      <c r="BB23" s="2"/>
      <c r="BC23" s="2"/>
      <c r="BE23" s="2" t="s">
        <v>401</v>
      </c>
      <c r="BF23" s="2"/>
      <c r="BG23" s="2"/>
      <c r="BH23" s="2"/>
      <c r="BI23" s="2"/>
      <c r="BJ23" s="2" t="s">
        <v>402</v>
      </c>
      <c r="BK23" s="2"/>
      <c r="BL23" s="2"/>
      <c r="BM23" s="2"/>
      <c r="BN23" s="2"/>
      <c r="BO23" s="2"/>
    </row>
    <row r="24" customFormat="false" ht="15" hidden="false" customHeight="false" outlineLevel="0" collapsed="false">
      <c r="A24" s="2" t="n">
        <v>0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s">
        <v>87</v>
      </c>
      <c r="H24" s="2" t="s">
        <v>74</v>
      </c>
      <c r="I24" s="2" t="n">
        <v>5901234000017</v>
      </c>
      <c r="J24" s="2" t="n">
        <v>9788843321987</v>
      </c>
      <c r="K24" s="3" t="s">
        <v>403</v>
      </c>
      <c r="L24" s="2" t="s">
        <v>404</v>
      </c>
      <c r="M24" s="2" t="s">
        <v>405</v>
      </c>
      <c r="N24" s="2" t="s">
        <v>406</v>
      </c>
      <c r="O24" s="2" t="s">
        <v>407</v>
      </c>
      <c r="P24" s="2" t="n">
        <v>11</v>
      </c>
      <c r="Q24" s="2" t="n">
        <v>0</v>
      </c>
      <c r="R24" s="2" t="n">
        <v>42.58</v>
      </c>
      <c r="S24" s="2" t="n">
        <f aca="false">R24/1.45</f>
        <v>29.3655172413793</v>
      </c>
      <c r="T24" s="2" t="s">
        <v>80</v>
      </c>
      <c r="U24" s="2" t="n">
        <v>0</v>
      </c>
      <c r="V24" s="2" t="s">
        <v>408</v>
      </c>
      <c r="W24" s="2" t="n">
        <f aca="false">ROUND(R24*7/100,2)</f>
        <v>2.98</v>
      </c>
      <c r="X24" s="2" t="s">
        <v>409</v>
      </c>
      <c r="Y24" s="2" t="s">
        <v>409</v>
      </c>
      <c r="Z24" s="2"/>
      <c r="AA24" s="2" t="s">
        <v>410</v>
      </c>
      <c r="AB24" s="2" t="s">
        <v>411</v>
      </c>
      <c r="AC24" s="2" t="s">
        <v>412</v>
      </c>
      <c r="AD24" s="2" t="s">
        <v>413</v>
      </c>
      <c r="AE24" s="2" t="n">
        <v>2</v>
      </c>
      <c r="AF24" s="2"/>
      <c r="AG24" s="2"/>
      <c r="AH24" s="2"/>
      <c r="AI24" s="2"/>
      <c r="AJ24" s="2"/>
      <c r="AK24" s="2" t="s">
        <v>74</v>
      </c>
      <c r="AL24" s="2"/>
      <c r="AM24" s="2"/>
      <c r="AN24" s="2" t="s">
        <v>87</v>
      </c>
      <c r="AO24" s="2" t="s">
        <v>88</v>
      </c>
      <c r="AP24" s="2" t="s">
        <v>89</v>
      </c>
      <c r="AQ24" s="2" t="s">
        <v>74</v>
      </c>
      <c r="AR24" s="2" t="s">
        <v>87</v>
      </c>
      <c r="AS24" s="2" t="s">
        <v>90</v>
      </c>
      <c r="AT24" s="2" t="n">
        <v>0</v>
      </c>
      <c r="AU24" s="2" t="n">
        <v>0</v>
      </c>
      <c r="AV24" s="2" t="n">
        <v>0</v>
      </c>
      <c r="AW24" s="2" t="s">
        <v>414</v>
      </c>
      <c r="AX24" s="2" t="s">
        <v>74</v>
      </c>
      <c r="AY24" s="2" t="s">
        <v>362</v>
      </c>
      <c r="AZ24" s="2" t="s">
        <v>362</v>
      </c>
      <c r="BA24" s="2" t="n">
        <v>3</v>
      </c>
      <c r="BB24" s="2"/>
      <c r="BC24" s="2"/>
      <c r="BE24" s="2" t="s">
        <v>415</v>
      </c>
      <c r="BF24" s="2"/>
      <c r="BG24" s="2"/>
      <c r="BH24" s="2"/>
      <c r="BI24" s="2"/>
      <c r="BJ24" s="2" t="s">
        <v>416</v>
      </c>
      <c r="BK24" s="2" t="s">
        <v>95</v>
      </c>
      <c r="BL24" s="2"/>
      <c r="BM24" s="2"/>
      <c r="BN24" s="2"/>
      <c r="BO24" s="2"/>
    </row>
    <row r="25" customFormat="false" ht="15" hidden="false" customHeight="false" outlineLevel="0" collapsed="false">
      <c r="A25" s="2" t="n">
        <v>0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s">
        <v>87</v>
      </c>
      <c r="H25" s="2" t="s">
        <v>74</v>
      </c>
      <c r="I25" s="2" t="n">
        <v>1234512345122</v>
      </c>
      <c r="J25" s="2" t="n">
        <v>9788815456783</v>
      </c>
      <c r="K25" s="3" t="s">
        <v>417</v>
      </c>
      <c r="L25" s="2" t="s">
        <v>418</v>
      </c>
      <c r="M25" s="2" t="s">
        <v>419</v>
      </c>
      <c r="N25" s="2" t="s">
        <v>420</v>
      </c>
      <c r="O25" s="2" t="s">
        <v>341</v>
      </c>
      <c r="P25" s="2" t="n">
        <v>40</v>
      </c>
      <c r="Q25" s="2" t="n">
        <v>1</v>
      </c>
      <c r="R25" s="2" t="n">
        <v>71.11</v>
      </c>
      <c r="S25" s="2" t="n">
        <f aca="false">R25/1.45</f>
        <v>49.0413793103448</v>
      </c>
      <c r="T25" s="2" t="s">
        <v>80</v>
      </c>
      <c r="U25" s="2" t="n">
        <v>0</v>
      </c>
      <c r="V25" s="2" t="s">
        <v>421</v>
      </c>
      <c r="W25" s="2" t="n">
        <f aca="false">ROUND(R25*7/100,2)</f>
        <v>4.98</v>
      </c>
      <c r="X25" s="2" t="s">
        <v>422</v>
      </c>
      <c r="Y25" s="2" t="s">
        <v>422</v>
      </c>
      <c r="Z25" s="2"/>
      <c r="AA25" s="2" t="s">
        <v>423</v>
      </c>
      <c r="AB25" s="2" t="s">
        <v>424</v>
      </c>
      <c r="AC25" s="2" t="s">
        <v>425</v>
      </c>
      <c r="AD25" s="2" t="s">
        <v>426</v>
      </c>
      <c r="AE25" s="2" t="n">
        <v>2</v>
      </c>
      <c r="AF25" s="2"/>
      <c r="AG25" s="2"/>
      <c r="AH25" s="2"/>
      <c r="AI25" s="2"/>
      <c r="AJ25" s="2"/>
      <c r="AK25" s="2" t="s">
        <v>74</v>
      </c>
      <c r="AL25" s="2"/>
      <c r="AM25" s="2"/>
      <c r="AN25" s="2" t="s">
        <v>87</v>
      </c>
      <c r="AO25" s="2" t="s">
        <v>88</v>
      </c>
      <c r="AP25" s="2" t="s">
        <v>89</v>
      </c>
      <c r="AQ25" s="2" t="s">
        <v>87</v>
      </c>
      <c r="AR25" s="2" t="s">
        <v>87</v>
      </c>
      <c r="AS25" s="2" t="s">
        <v>90</v>
      </c>
      <c r="AT25" s="2" t="n">
        <v>0</v>
      </c>
      <c r="AU25" s="2" t="n">
        <v>0</v>
      </c>
      <c r="AV25" s="2" t="n">
        <v>1</v>
      </c>
      <c r="AW25" s="2" t="s">
        <v>125</v>
      </c>
      <c r="AX25" s="2" t="s">
        <v>87</v>
      </c>
      <c r="AY25" s="2" t="s">
        <v>362</v>
      </c>
      <c r="AZ25" s="2" t="s">
        <v>362</v>
      </c>
      <c r="BA25" s="2" t="n">
        <v>3</v>
      </c>
      <c r="BB25" s="2"/>
      <c r="BC25" s="2"/>
      <c r="BE25" s="2" t="s">
        <v>427</v>
      </c>
      <c r="BF25" s="2"/>
      <c r="BG25" s="2"/>
      <c r="BH25" s="2"/>
      <c r="BI25" s="2"/>
      <c r="BJ25" s="2" t="s">
        <v>428</v>
      </c>
      <c r="BK25" s="2"/>
      <c r="BL25" s="2"/>
      <c r="BM25" s="2"/>
      <c r="BN25" s="2"/>
      <c r="BO25" s="2"/>
    </row>
    <row r="26" customFormat="false" ht="15" hidden="false" customHeight="false" outlineLevel="0" collapsed="false">
      <c r="A26" s="2" t="n">
        <v>0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s">
        <v>87</v>
      </c>
      <c r="H26" s="2" t="s">
        <v>87</v>
      </c>
      <c r="I26" s="2" t="n">
        <v>4012345678903</v>
      </c>
      <c r="J26" s="2" t="n">
        <v>9788839876543</v>
      </c>
      <c r="K26" s="3" t="s">
        <v>429</v>
      </c>
      <c r="L26" s="2" t="s">
        <v>430</v>
      </c>
      <c r="M26" s="2" t="s">
        <v>431</v>
      </c>
      <c r="N26" s="2" t="s">
        <v>432</v>
      </c>
      <c r="O26" s="2" t="s">
        <v>420</v>
      </c>
      <c r="P26" s="2" t="n">
        <v>16</v>
      </c>
      <c r="Q26" s="2" t="n">
        <v>1</v>
      </c>
      <c r="R26" s="2" t="n">
        <v>50.61</v>
      </c>
      <c r="S26" s="2" t="n">
        <f aca="false">R26/1.45</f>
        <v>34.9034482758621</v>
      </c>
      <c r="T26" s="2" t="s">
        <v>80</v>
      </c>
      <c r="U26" s="2" t="n">
        <v>0</v>
      </c>
      <c r="V26" s="2" t="s">
        <v>433</v>
      </c>
      <c r="W26" s="2" t="n">
        <f aca="false">ROUND(R26*7/100,2)</f>
        <v>3.54</v>
      </c>
      <c r="X26" s="2" t="s">
        <v>434</v>
      </c>
      <c r="Y26" s="2" t="s">
        <v>434</v>
      </c>
      <c r="Z26" s="2" t="s">
        <v>435</v>
      </c>
      <c r="AA26" s="2" t="s">
        <v>436</v>
      </c>
      <c r="AB26" s="2" t="s">
        <v>437</v>
      </c>
      <c r="AC26" s="2" t="s">
        <v>438</v>
      </c>
      <c r="AD26" s="2" t="s">
        <v>439</v>
      </c>
      <c r="AE26" s="2" t="n">
        <v>2</v>
      </c>
      <c r="AF26" s="2"/>
      <c r="AG26" s="2"/>
      <c r="AH26" s="2"/>
      <c r="AI26" s="2"/>
      <c r="AJ26" s="2"/>
      <c r="AK26" s="2" t="s">
        <v>74</v>
      </c>
      <c r="AL26" s="2"/>
      <c r="AM26" s="2"/>
      <c r="AN26" s="2" t="s">
        <v>87</v>
      </c>
      <c r="AO26" s="2" t="s">
        <v>88</v>
      </c>
      <c r="AP26" s="2" t="s">
        <v>293</v>
      </c>
      <c r="AQ26" s="2" t="s">
        <v>74</v>
      </c>
      <c r="AR26" s="2" t="s">
        <v>87</v>
      </c>
      <c r="AS26" s="2" t="s">
        <v>440</v>
      </c>
      <c r="AT26" s="2" t="n">
        <v>0</v>
      </c>
      <c r="AU26" s="2" t="n">
        <v>0</v>
      </c>
      <c r="AV26" s="2" t="n">
        <v>0</v>
      </c>
      <c r="AW26" s="2" t="s">
        <v>295</v>
      </c>
      <c r="AX26" s="2" t="s">
        <v>87</v>
      </c>
      <c r="AY26" s="2" t="s">
        <v>362</v>
      </c>
      <c r="AZ26" s="2" t="s">
        <v>362</v>
      </c>
      <c r="BA26" s="2" t="n">
        <v>3</v>
      </c>
      <c r="BB26" s="2"/>
      <c r="BC26" s="2"/>
      <c r="BE26" s="2" t="s">
        <v>441</v>
      </c>
      <c r="BF26" s="2"/>
      <c r="BG26" s="2"/>
      <c r="BH26" s="2"/>
      <c r="BI26" s="2"/>
      <c r="BJ26" s="2" t="s">
        <v>442</v>
      </c>
      <c r="BK26" s="2" t="s">
        <v>95</v>
      </c>
      <c r="BL26" s="2"/>
      <c r="BM26" s="2"/>
      <c r="BN26" s="2"/>
      <c r="BO26" s="2"/>
    </row>
    <row r="27" customFormat="false" ht="15" hidden="false" customHeight="false" outlineLevel="0" collapsed="false">
      <c r="A27" s="2" t="n">
        <v>0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s">
        <v>74</v>
      </c>
      <c r="H27" s="2" t="s">
        <v>87</v>
      </c>
      <c r="I27" s="2" t="n">
        <v>9783161484101</v>
      </c>
      <c r="J27" s="2" t="n">
        <v>9788807234564</v>
      </c>
      <c r="K27" s="3" t="s">
        <v>443</v>
      </c>
      <c r="L27" s="2" t="s">
        <v>444</v>
      </c>
      <c r="M27" s="2" t="s">
        <v>445</v>
      </c>
      <c r="N27" s="2" t="s">
        <v>446</v>
      </c>
      <c r="O27" s="2" t="s">
        <v>447</v>
      </c>
      <c r="P27" s="2" t="n">
        <v>200</v>
      </c>
      <c r="Q27" s="2" t="n">
        <v>1</v>
      </c>
      <c r="R27" s="2" t="n">
        <v>46.59</v>
      </c>
      <c r="S27" s="2" t="n">
        <f aca="false">R27/1.45</f>
        <v>32.1310344827586</v>
      </c>
      <c r="T27" s="2" t="s">
        <v>80</v>
      </c>
      <c r="U27" s="2" t="n">
        <v>0</v>
      </c>
      <c r="V27" s="2" t="s">
        <v>448</v>
      </c>
      <c r="W27" s="2" t="n">
        <f aca="false">ROUND(R27*7/100,2)</f>
        <v>3.26</v>
      </c>
      <c r="X27" s="2" t="s">
        <v>449</v>
      </c>
      <c r="Y27" s="2" t="s">
        <v>449</v>
      </c>
      <c r="Z27" s="2"/>
      <c r="AA27" s="2" t="s">
        <v>450</v>
      </c>
      <c r="AB27" s="2" t="s">
        <v>451</v>
      </c>
      <c r="AC27" s="2" t="s">
        <v>452</v>
      </c>
      <c r="AD27" s="2" t="s">
        <v>453</v>
      </c>
      <c r="AE27" s="2" t="n">
        <v>2</v>
      </c>
      <c r="AF27" s="2"/>
      <c r="AG27" s="2"/>
      <c r="AH27" s="2"/>
      <c r="AI27" s="2"/>
      <c r="AJ27" s="2"/>
      <c r="AK27" s="2" t="s">
        <v>87</v>
      </c>
      <c r="AL27" s="2"/>
      <c r="AM27" s="2"/>
      <c r="AN27" s="2" t="s">
        <v>87</v>
      </c>
      <c r="AO27" s="2" t="s">
        <v>88</v>
      </c>
      <c r="AP27" s="2" t="s">
        <v>201</v>
      </c>
      <c r="AQ27" s="2" t="s">
        <v>87</v>
      </c>
      <c r="AR27" s="2" t="s">
        <v>74</v>
      </c>
      <c r="AS27" s="2" t="s">
        <v>90</v>
      </c>
      <c r="AT27" s="2" t="n">
        <v>0</v>
      </c>
      <c r="AU27" s="2" t="n">
        <v>0</v>
      </c>
      <c r="AV27" s="2" t="n">
        <v>1</v>
      </c>
      <c r="AW27" s="2" t="s">
        <v>454</v>
      </c>
      <c r="AX27" s="2" t="s">
        <v>74</v>
      </c>
      <c r="AY27" s="2" t="s">
        <v>362</v>
      </c>
      <c r="AZ27" s="2" t="s">
        <v>362</v>
      </c>
      <c r="BA27" s="2" t="n">
        <v>3</v>
      </c>
      <c r="BB27" s="2"/>
      <c r="BC27" s="2"/>
      <c r="BE27" s="2" t="s">
        <v>455</v>
      </c>
      <c r="BF27" s="2"/>
      <c r="BG27" s="2"/>
      <c r="BH27" s="2"/>
      <c r="BI27" s="2"/>
      <c r="BJ27" s="2" t="s">
        <v>456</v>
      </c>
      <c r="BK27" s="2" t="s">
        <v>95</v>
      </c>
      <c r="BL27" s="2"/>
      <c r="BM27" s="2"/>
      <c r="BN27" s="2"/>
      <c r="BO27" s="2"/>
    </row>
    <row r="28" customFormat="false" ht="15" hidden="false" customHeight="false" outlineLevel="0" collapsed="false">
      <c r="A28" s="2" t="n">
        <v>0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s">
        <v>74</v>
      </c>
      <c r="H28" s="2" t="s">
        <v>74</v>
      </c>
      <c r="I28" s="2" t="n">
        <v>8001505012385</v>
      </c>
      <c r="J28" s="2" t="n">
        <v>9788850345678</v>
      </c>
      <c r="K28" s="3" t="s">
        <v>457</v>
      </c>
      <c r="L28" s="2" t="s">
        <v>458</v>
      </c>
      <c r="M28" s="2" t="s">
        <v>459</v>
      </c>
      <c r="N28" s="2" t="s">
        <v>328</v>
      </c>
      <c r="O28" s="2" t="s">
        <v>460</v>
      </c>
      <c r="P28" s="2" t="n">
        <v>22</v>
      </c>
      <c r="Q28" s="2" t="n">
        <v>1</v>
      </c>
      <c r="R28" s="2" t="n">
        <v>48.42</v>
      </c>
      <c r="S28" s="2" t="n">
        <f aca="false">R28/1.45</f>
        <v>33.3931034482759</v>
      </c>
      <c r="T28" s="2" t="s">
        <v>80</v>
      </c>
      <c r="U28" s="2" t="n">
        <v>0</v>
      </c>
      <c r="V28" s="2" t="s">
        <v>461</v>
      </c>
      <c r="W28" s="2" t="n">
        <f aca="false">ROUND(R28*7/100,2)</f>
        <v>3.39</v>
      </c>
      <c r="X28" s="2" t="s">
        <v>462</v>
      </c>
      <c r="Y28" s="2" t="s">
        <v>462</v>
      </c>
      <c r="Z28" s="2"/>
      <c r="AA28" s="2" t="s">
        <v>463</v>
      </c>
      <c r="AB28" s="2" t="s">
        <v>464</v>
      </c>
      <c r="AC28" s="2" t="s">
        <v>465</v>
      </c>
      <c r="AD28" s="2" t="s">
        <v>466</v>
      </c>
      <c r="AE28" s="2" t="n">
        <v>2</v>
      </c>
      <c r="AF28" s="2"/>
      <c r="AG28" s="2"/>
      <c r="AH28" s="2"/>
      <c r="AI28" s="2"/>
      <c r="AJ28" s="2"/>
      <c r="AK28" s="2" t="s">
        <v>87</v>
      </c>
      <c r="AL28" s="2"/>
      <c r="AM28" s="2"/>
      <c r="AN28" s="2" t="s">
        <v>87</v>
      </c>
      <c r="AO28" s="2" t="s">
        <v>88</v>
      </c>
      <c r="AP28" s="2" t="s">
        <v>89</v>
      </c>
      <c r="AQ28" s="2" t="s">
        <v>87</v>
      </c>
      <c r="AR28" s="2" t="s">
        <v>87</v>
      </c>
      <c r="AS28" s="2" t="s">
        <v>90</v>
      </c>
      <c r="AT28" s="2" t="n">
        <v>0</v>
      </c>
      <c r="AU28" s="2" t="n">
        <v>0</v>
      </c>
      <c r="AV28" s="2" t="n">
        <v>0</v>
      </c>
      <c r="AW28" s="2" t="s">
        <v>467</v>
      </c>
      <c r="AX28" s="2" t="s">
        <v>74</v>
      </c>
      <c r="AY28" s="2" t="s">
        <v>362</v>
      </c>
      <c r="AZ28" s="2" t="s">
        <v>362</v>
      </c>
      <c r="BA28" s="2" t="n">
        <v>3</v>
      </c>
      <c r="BB28" s="2"/>
      <c r="BC28" s="2"/>
      <c r="BE28" s="2" t="s">
        <v>468</v>
      </c>
      <c r="BF28" s="2"/>
      <c r="BG28" s="2"/>
      <c r="BH28" s="2"/>
      <c r="BI28" s="2"/>
      <c r="BJ28" s="2" t="s">
        <v>469</v>
      </c>
      <c r="BK28" s="2"/>
      <c r="BL28" s="2"/>
      <c r="BM28" s="2"/>
      <c r="BN28" s="2"/>
      <c r="BO28" s="2"/>
    </row>
    <row r="29" customFormat="false" ht="15" hidden="false" customHeight="false" outlineLevel="0" collapsed="false">
      <c r="A29" s="2" t="n">
        <v>0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s">
        <v>87</v>
      </c>
      <c r="H29" s="2" t="s">
        <v>87</v>
      </c>
      <c r="I29" s="2" t="n">
        <v>5901234123451</v>
      </c>
      <c r="J29" s="2" t="n">
        <v>9788849654321</v>
      </c>
      <c r="K29" s="3" t="s">
        <v>470</v>
      </c>
      <c r="L29" s="2" t="s">
        <v>471</v>
      </c>
      <c r="M29" s="2" t="s">
        <v>472</v>
      </c>
      <c r="N29" s="2" t="s">
        <v>473</v>
      </c>
      <c r="O29" s="2" t="s">
        <v>202</v>
      </c>
      <c r="P29" s="2" t="n">
        <v>35</v>
      </c>
      <c r="Q29" s="2" t="n">
        <v>1</v>
      </c>
      <c r="R29" s="2" t="n">
        <v>81.23</v>
      </c>
      <c r="S29" s="2" t="n">
        <f aca="false">R29/1.45</f>
        <v>56.0206896551724</v>
      </c>
      <c r="T29" s="2" t="s">
        <v>80</v>
      </c>
      <c r="U29" s="2" t="n">
        <v>0</v>
      </c>
      <c r="V29" s="2" t="s">
        <v>474</v>
      </c>
      <c r="W29" s="2" t="n">
        <f aca="false">ROUND(R29*7/100,2)</f>
        <v>5.69</v>
      </c>
      <c r="X29" s="2" t="s">
        <v>475</v>
      </c>
      <c r="Y29" s="2" t="s">
        <v>475</v>
      </c>
      <c r="Z29" s="2"/>
      <c r="AA29" s="2" t="s">
        <v>476</v>
      </c>
      <c r="AB29" s="2" t="s">
        <v>477</v>
      </c>
      <c r="AC29" s="2" t="s">
        <v>478</v>
      </c>
      <c r="AD29" s="2" t="s">
        <v>479</v>
      </c>
      <c r="AE29" s="2" t="n">
        <v>2</v>
      </c>
      <c r="AF29" s="2"/>
      <c r="AG29" s="2"/>
      <c r="AH29" s="2"/>
      <c r="AI29" s="2"/>
      <c r="AJ29" s="2"/>
      <c r="AK29" s="2" t="s">
        <v>87</v>
      </c>
      <c r="AL29" s="2"/>
      <c r="AM29" s="2"/>
      <c r="AN29" s="2" t="s">
        <v>87</v>
      </c>
      <c r="AO29" s="2" t="s">
        <v>88</v>
      </c>
      <c r="AP29" s="2" t="s">
        <v>201</v>
      </c>
      <c r="AQ29" s="2" t="s">
        <v>87</v>
      </c>
      <c r="AR29" s="2" t="s">
        <v>74</v>
      </c>
      <c r="AS29" s="2" t="s">
        <v>90</v>
      </c>
      <c r="AT29" s="2" t="n">
        <v>0</v>
      </c>
      <c r="AU29" s="2" t="n">
        <v>0</v>
      </c>
      <c r="AV29" s="2" t="n">
        <v>0</v>
      </c>
      <c r="AW29" s="2" t="s">
        <v>394</v>
      </c>
      <c r="AX29" s="2" t="s">
        <v>74</v>
      </c>
      <c r="AY29" s="2" t="s">
        <v>362</v>
      </c>
      <c r="AZ29" s="2" t="s">
        <v>362</v>
      </c>
      <c r="BA29" s="2" t="n">
        <v>3</v>
      </c>
      <c r="BB29" s="2"/>
      <c r="BC29" s="2"/>
      <c r="BE29" s="2" t="s">
        <v>480</v>
      </c>
      <c r="BF29" s="2"/>
      <c r="BG29" s="2"/>
      <c r="BH29" s="2"/>
      <c r="BI29" s="2"/>
      <c r="BJ29" s="2" t="s">
        <v>481</v>
      </c>
      <c r="BK29" s="2"/>
      <c r="BL29" s="2"/>
      <c r="BM29" s="2"/>
      <c r="BN29" s="2"/>
      <c r="BO29" s="2"/>
    </row>
    <row r="30" customFormat="false" ht="15" hidden="false" customHeight="false" outlineLevel="0" collapsed="false">
      <c r="A30" s="2" t="n">
        <v>0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s">
        <v>87</v>
      </c>
      <c r="H30" s="2" t="s">
        <v>87</v>
      </c>
      <c r="I30" s="2" t="n">
        <v>1234567890126</v>
      </c>
      <c r="J30" s="2" t="n">
        <v>9788812345670</v>
      </c>
      <c r="K30" s="3" t="s">
        <v>482</v>
      </c>
      <c r="L30" s="2" t="s">
        <v>483</v>
      </c>
      <c r="M30" s="2" t="s">
        <v>484</v>
      </c>
      <c r="N30" s="2" t="s">
        <v>485</v>
      </c>
      <c r="O30" s="2" t="s">
        <v>486</v>
      </c>
      <c r="P30" s="2" t="n">
        <v>13</v>
      </c>
      <c r="Q30" s="2" t="n">
        <v>1</v>
      </c>
      <c r="R30" s="2" t="n">
        <v>71.71</v>
      </c>
      <c r="S30" s="2" t="n">
        <f aca="false">R30/1.45</f>
        <v>49.4551724137931</v>
      </c>
      <c r="T30" s="2" t="s">
        <v>80</v>
      </c>
      <c r="U30" s="2" t="n">
        <v>0</v>
      </c>
      <c r="V30" s="2" t="s">
        <v>487</v>
      </c>
      <c r="W30" s="2" t="n">
        <f aca="false">ROUND(R30*7/100,2)</f>
        <v>5.02</v>
      </c>
      <c r="X30" s="2" t="s">
        <v>488</v>
      </c>
      <c r="Y30" s="2" t="s">
        <v>488</v>
      </c>
      <c r="Z30" s="2"/>
      <c r="AA30" s="2" t="s">
        <v>489</v>
      </c>
      <c r="AB30" s="2" t="s">
        <v>490</v>
      </c>
      <c r="AC30" s="2" t="s">
        <v>491</v>
      </c>
      <c r="AD30" s="2" t="s">
        <v>492</v>
      </c>
      <c r="AE30" s="2" t="n">
        <v>2</v>
      </c>
      <c r="AF30" s="2"/>
      <c r="AG30" s="2"/>
      <c r="AH30" s="2"/>
      <c r="AI30" s="2"/>
      <c r="AJ30" s="2"/>
      <c r="AK30" s="2" t="s">
        <v>87</v>
      </c>
      <c r="AL30" s="2"/>
      <c r="AM30" s="2"/>
      <c r="AN30" s="2" t="s">
        <v>87</v>
      </c>
      <c r="AO30" s="2" t="s">
        <v>88</v>
      </c>
      <c r="AP30" s="2" t="s">
        <v>89</v>
      </c>
      <c r="AQ30" s="2" t="s">
        <v>74</v>
      </c>
      <c r="AR30" s="2" t="s">
        <v>74</v>
      </c>
      <c r="AS30" s="2" t="s">
        <v>90</v>
      </c>
      <c r="AT30" s="2" t="n">
        <v>0</v>
      </c>
      <c r="AU30" s="2" t="n">
        <v>0</v>
      </c>
      <c r="AV30" s="2" t="n">
        <v>0</v>
      </c>
      <c r="AW30" s="2" t="s">
        <v>493</v>
      </c>
      <c r="AX30" s="2" t="s">
        <v>74</v>
      </c>
      <c r="AY30" s="2" t="s">
        <v>362</v>
      </c>
      <c r="AZ30" s="2" t="s">
        <v>362</v>
      </c>
      <c r="BA30" s="2" t="n">
        <v>3</v>
      </c>
      <c r="BB30" s="2"/>
      <c r="BC30" s="2"/>
      <c r="BE30" s="2" t="s">
        <v>494</v>
      </c>
      <c r="BF30" s="2"/>
      <c r="BG30" s="2"/>
      <c r="BH30" s="2"/>
      <c r="BI30" s="2"/>
      <c r="BJ30" s="2" t="s">
        <v>495</v>
      </c>
      <c r="BK30" s="2" t="s">
        <v>95</v>
      </c>
      <c r="BL30" s="2"/>
      <c r="BM30" s="2"/>
      <c r="BN30" s="2"/>
      <c r="BO30" s="2"/>
    </row>
    <row r="31" customFormat="false" ht="15" hidden="false" customHeight="false" outlineLevel="0" collapsed="false">
      <c r="A31" s="2" t="n">
        <v>0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s">
        <v>87</v>
      </c>
      <c r="H31" s="2" t="s">
        <v>87</v>
      </c>
      <c r="I31" s="2" t="n">
        <v>4001234567892</v>
      </c>
      <c r="J31" s="2" t="n">
        <v>9788834567891</v>
      </c>
      <c r="K31" s="3" t="s">
        <v>496</v>
      </c>
      <c r="L31" s="2" t="s">
        <v>497</v>
      </c>
      <c r="M31" s="2" t="s">
        <v>498</v>
      </c>
      <c r="N31" s="2" t="s">
        <v>499</v>
      </c>
      <c r="O31" s="2" t="s">
        <v>500</v>
      </c>
      <c r="P31" s="2" t="n">
        <v>48</v>
      </c>
      <c r="Q31" s="2" t="n">
        <v>1</v>
      </c>
      <c r="R31" s="2" t="n">
        <v>28.17</v>
      </c>
      <c r="S31" s="2" t="n">
        <f aca="false">R31/1.45</f>
        <v>19.4275862068966</v>
      </c>
      <c r="T31" s="2" t="s">
        <v>80</v>
      </c>
      <c r="U31" s="2" t="n">
        <v>0</v>
      </c>
      <c r="V31" s="2" t="s">
        <v>501</v>
      </c>
      <c r="W31" s="2" t="n">
        <f aca="false">ROUND(R31*7/100,2)</f>
        <v>1.97</v>
      </c>
      <c r="X31" s="2" t="s">
        <v>502</v>
      </c>
      <c r="Y31" s="2" t="s">
        <v>502</v>
      </c>
      <c r="Z31" s="2"/>
      <c r="AA31" s="2" t="s">
        <v>503</v>
      </c>
      <c r="AB31" s="2" t="s">
        <v>504</v>
      </c>
      <c r="AC31" s="2" t="s">
        <v>505</v>
      </c>
      <c r="AD31" s="2" t="s">
        <v>506</v>
      </c>
      <c r="AE31" s="2" t="n">
        <v>2</v>
      </c>
      <c r="AF31" s="2"/>
      <c r="AG31" s="2"/>
      <c r="AH31" s="2"/>
      <c r="AI31" s="2"/>
      <c r="AJ31" s="2"/>
      <c r="AK31" s="2" t="s">
        <v>74</v>
      </c>
      <c r="AL31" s="2"/>
      <c r="AM31" s="2"/>
      <c r="AN31" s="2" t="s">
        <v>74</v>
      </c>
      <c r="AO31" s="2" t="s">
        <v>88</v>
      </c>
      <c r="AP31" s="2" t="s">
        <v>201</v>
      </c>
      <c r="AQ31" s="2" t="s">
        <v>74</v>
      </c>
      <c r="AR31" s="2" t="s">
        <v>87</v>
      </c>
      <c r="AS31" s="2" t="s">
        <v>90</v>
      </c>
      <c r="AT31" s="2" t="n">
        <v>0</v>
      </c>
      <c r="AU31" s="2" t="n">
        <v>0</v>
      </c>
      <c r="AV31" s="2" t="n">
        <v>0</v>
      </c>
      <c r="AW31" s="2" t="s">
        <v>106</v>
      </c>
      <c r="AX31" s="2" t="s">
        <v>87</v>
      </c>
      <c r="AY31" s="2" t="s">
        <v>362</v>
      </c>
      <c r="AZ31" s="2" t="s">
        <v>362</v>
      </c>
      <c r="BA31" s="2" t="n">
        <v>3</v>
      </c>
      <c r="BB31" s="2"/>
      <c r="BC31" s="2"/>
      <c r="BE31" s="2" t="s">
        <v>507</v>
      </c>
      <c r="BF31" s="2"/>
      <c r="BG31" s="2"/>
      <c r="BH31" s="2"/>
      <c r="BI31" s="2"/>
      <c r="BJ31" s="2" t="s">
        <v>508</v>
      </c>
      <c r="BK31" s="2" t="s">
        <v>95</v>
      </c>
      <c r="BL31" s="2"/>
      <c r="BM31" s="2"/>
      <c r="BN31" s="2"/>
      <c r="BO3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0" customFormat="false" ht="15" hidden="false" customHeight="false" outlineLevel="0" collapsed="false">
      <c r="A10" s="2" t="s">
        <v>9</v>
      </c>
    </row>
    <row r="11" customFormat="false" ht="15" hidden="false" customHeight="false" outlineLevel="0" collapsed="false">
      <c r="A11" s="2" t="s">
        <v>10</v>
      </c>
    </row>
    <row r="12" customFormat="false" ht="15" hidden="false" customHeight="false" outlineLevel="0" collapsed="false">
      <c r="A12" s="2" t="s">
        <v>11</v>
      </c>
    </row>
    <row r="13" customFormat="false" ht="15" hidden="false" customHeight="false" outlineLevel="0" collapsed="false">
      <c r="A13" s="2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2" t="s">
        <v>14</v>
      </c>
    </row>
    <row r="16" customFormat="false" ht="15" hidden="false" customHeight="false" outlineLevel="0" collapsed="false">
      <c r="A16" s="2" t="s">
        <v>17</v>
      </c>
    </row>
    <row r="17" customFormat="false" ht="15" hidden="false" customHeight="false" outlineLevel="0" collapsed="false">
      <c r="A17" s="2" t="s">
        <v>18</v>
      </c>
    </row>
    <row r="18" customFormat="false" ht="15" hidden="false" customHeight="false" outlineLevel="0" collapsed="false">
      <c r="A18" s="2" t="s">
        <v>19</v>
      </c>
    </row>
    <row r="19" customFormat="false" ht="15" hidden="false" customHeight="false" outlineLevel="0" collapsed="false">
      <c r="A19" s="2" t="s">
        <v>21</v>
      </c>
    </row>
    <row r="20" customFormat="false" ht="15" hidden="false" customHeight="false" outlineLevel="0" collapsed="false">
      <c r="A20" s="2" t="s">
        <v>22</v>
      </c>
    </row>
    <row r="21" customFormat="false" ht="15" hidden="false" customHeight="false" outlineLevel="0" collapsed="false">
      <c r="A21" s="2" t="s">
        <v>23</v>
      </c>
    </row>
    <row r="22" customFormat="false" ht="15" hidden="false" customHeight="false" outlineLevel="0" collapsed="false">
      <c r="A22" s="2" t="s">
        <v>24</v>
      </c>
    </row>
    <row r="23" customFormat="false" ht="15" hidden="false" customHeight="false" outlineLevel="0" collapsed="false">
      <c r="A23" s="2" t="s">
        <v>25</v>
      </c>
    </row>
    <row r="24" customFormat="false" ht="15" hidden="false" customHeight="false" outlineLevel="0" collapsed="false">
      <c r="A24" s="2" t="s">
        <v>26</v>
      </c>
    </row>
    <row r="25" customFormat="false" ht="15" hidden="false" customHeight="false" outlineLevel="0" collapsed="false">
      <c r="A25" s="2" t="s">
        <v>27</v>
      </c>
    </row>
    <row r="26" customFormat="false" ht="15" hidden="false" customHeight="false" outlineLevel="0" collapsed="false">
      <c r="A26" s="2" t="s">
        <v>28</v>
      </c>
    </row>
    <row r="27" customFormat="false" ht="15" hidden="false" customHeight="false" outlineLevel="0" collapsed="false">
      <c r="A27" s="2" t="s">
        <v>29</v>
      </c>
    </row>
    <row r="28" customFormat="false" ht="15" hidden="false" customHeight="false" outlineLevel="0" collapsed="false">
      <c r="A28" s="2" t="s">
        <v>30</v>
      </c>
    </row>
    <row r="29" customFormat="false" ht="15" hidden="false" customHeight="false" outlineLevel="0" collapsed="false">
      <c r="A29" s="2" t="s">
        <v>32</v>
      </c>
    </row>
    <row r="30" customFormat="false" ht="15" hidden="false" customHeight="false" outlineLevel="0" collapsed="false">
      <c r="A30" s="2" t="s">
        <v>33</v>
      </c>
    </row>
    <row r="31" customFormat="false" ht="15" hidden="false" customHeight="false" outlineLevel="0" collapsed="false">
      <c r="A31" s="2" t="s">
        <v>34</v>
      </c>
    </row>
    <row r="32" customFormat="false" ht="15" hidden="false" customHeight="false" outlineLevel="0" collapsed="false">
      <c r="A32" s="2" t="s">
        <v>35</v>
      </c>
    </row>
    <row r="33" customFormat="false" ht="15" hidden="false" customHeight="false" outlineLevel="0" collapsed="false">
      <c r="A33" s="2" t="s">
        <v>36</v>
      </c>
    </row>
    <row r="34" customFormat="false" ht="15" hidden="false" customHeight="false" outlineLevel="0" collapsed="false">
      <c r="A34" s="2" t="s">
        <v>37</v>
      </c>
    </row>
    <row r="35" customFormat="false" ht="15" hidden="false" customHeight="false" outlineLevel="0" collapsed="false">
      <c r="A35" s="2" t="s">
        <v>39</v>
      </c>
    </row>
    <row r="36" customFormat="false" ht="15" hidden="false" customHeight="false" outlineLevel="0" collapsed="false">
      <c r="A36" s="2" t="s">
        <v>40</v>
      </c>
    </row>
    <row r="37" customFormat="false" ht="15" hidden="false" customHeight="false" outlineLevel="0" collapsed="false">
      <c r="A37" s="2" t="s">
        <v>41</v>
      </c>
    </row>
    <row r="38" customFormat="false" ht="15" hidden="false" customHeight="false" outlineLevel="0" collapsed="false">
      <c r="A38" s="2" t="s">
        <v>42</v>
      </c>
    </row>
    <row r="39" customFormat="false" ht="15" hidden="false" customHeight="false" outlineLevel="0" collapsed="false">
      <c r="A39" s="2" t="s">
        <v>43</v>
      </c>
    </row>
    <row r="40" customFormat="false" ht="15" hidden="false" customHeight="false" outlineLevel="0" collapsed="false">
      <c r="A40" s="2" t="s">
        <v>44</v>
      </c>
    </row>
    <row r="41" customFormat="false" ht="15" hidden="false" customHeight="false" outlineLevel="0" collapsed="false">
      <c r="A41" s="2" t="s">
        <v>48</v>
      </c>
    </row>
    <row r="42" customFormat="false" ht="15" hidden="false" customHeight="false" outlineLevel="0" collapsed="false">
      <c r="A42" s="2" t="s">
        <v>49</v>
      </c>
    </row>
    <row r="43" customFormat="false" ht="15" hidden="false" customHeight="false" outlineLevel="0" collapsed="false">
      <c r="A43" s="2" t="s">
        <v>50</v>
      </c>
    </row>
    <row r="44" customFormat="false" ht="15" hidden="false" customHeight="false" outlineLevel="0" collapsed="false">
      <c r="A44" s="2" t="s">
        <v>51</v>
      </c>
    </row>
    <row r="45" customFormat="false" ht="15" hidden="false" customHeight="false" outlineLevel="0" collapsed="false">
      <c r="A45" s="2" t="s">
        <v>52</v>
      </c>
    </row>
    <row r="46" customFormat="false" ht="15" hidden="false" customHeight="false" outlineLevel="0" collapsed="false">
      <c r="A46" s="2" t="s">
        <v>53</v>
      </c>
    </row>
    <row r="47" customFormat="false" ht="15" hidden="false" customHeight="false" outlineLevel="0" collapsed="false">
      <c r="A47" s="2" t="s">
        <v>31</v>
      </c>
    </row>
    <row r="48" customFormat="false" ht="15" hidden="false" customHeight="false" outlineLevel="0" collapsed="false">
      <c r="A48" s="2" t="s">
        <v>54</v>
      </c>
    </row>
    <row r="49" customFormat="false" ht="15" hidden="false" customHeight="false" outlineLevel="0" collapsed="false">
      <c r="A49" s="2" t="s">
        <v>55</v>
      </c>
    </row>
    <row r="50" customFormat="false" ht="15" hidden="false" customHeight="false" outlineLevel="0" collapsed="false">
      <c r="A50" s="2" t="s">
        <v>56</v>
      </c>
    </row>
    <row r="51" customFormat="false" ht="15" hidden="false" customHeight="false" outlineLevel="0" collapsed="false">
      <c r="A51" s="2" t="s">
        <v>57</v>
      </c>
    </row>
    <row r="52" customFormat="false" ht="15" hidden="false" customHeight="false" outlineLevel="0" collapsed="false">
      <c r="A52" s="2" t="s">
        <v>58</v>
      </c>
    </row>
    <row r="53" customFormat="false" ht="15" hidden="false" customHeight="false" outlineLevel="0" collapsed="false">
      <c r="A53" s="2" t="s">
        <v>59</v>
      </c>
    </row>
    <row r="54" customFormat="false" ht="15" hidden="false" customHeight="false" outlineLevel="0" collapsed="false">
      <c r="A54" s="2" t="s">
        <v>60</v>
      </c>
    </row>
    <row r="55" customFormat="false" ht="15" hidden="false" customHeight="false" outlineLevel="0" collapsed="false">
      <c r="A55" s="2" t="s">
        <v>61</v>
      </c>
    </row>
    <row r="56" customFormat="false" ht="15" hidden="false" customHeight="false" outlineLevel="0" collapsed="false">
      <c r="A56" s="2" t="s">
        <v>63</v>
      </c>
    </row>
    <row r="57" customFormat="false" ht="15" hidden="false" customHeight="false" outlineLevel="0" collapsed="false">
      <c r="A57" s="2" t="s">
        <v>64</v>
      </c>
    </row>
    <row r="58" customFormat="false" ht="15" hidden="false" customHeight="false" outlineLevel="0" collapsed="false">
      <c r="A58" s="2" t="s">
        <v>65</v>
      </c>
    </row>
    <row r="59" customFormat="false" ht="15" hidden="false" customHeight="false" outlineLevel="0" collapsed="false">
      <c r="A59" s="2" t="s">
        <v>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2026-03-16T11:24:15Z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