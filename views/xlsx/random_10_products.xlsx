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otti" sheetId="1" state="visible" r:id="rId3"/>
    <sheet name="Foglio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<sst xmlns="http://schemas.openxmlformats.org/spreadsheetml/2006/main" count="271" uniqueCount="174">
  <si>
    <t xml:space="preserve">id_product</t>
  </si>
  <si>
    <t xml:space="preserve">ean13</t>
  </si>
  <si>
    <t xml:space="preserve">quantity</t>
  </si>
  <si>
    <t xml:space="preserve">minimal_quantity</t>
  </si>
  <si>
    <t xml:space="preserve">low_stock_threshold</t>
  </si>
  <si>
    <t xml:space="preserve">low_stock_alert</t>
  </si>
  <si>
    <t xml:space="preserve">price</t>
  </si>
  <si>
    <t xml:space="preserve">wholesale_price</t>
  </si>
  <si>
    <t xml:space="preserve">unity</t>
  </si>
  <si>
    <t xml:space="preserve">reference</t>
  </si>
  <si>
    <t xml:space="preserve">location</t>
  </si>
  <si>
    <t xml:space="preserve">width</t>
  </si>
  <si>
    <t xml:space="preserve">height</t>
  </si>
  <si>
    <t xml:space="preserve">depth</t>
  </si>
  <si>
    <t xml:space="preserve">weight</t>
  </si>
  <si>
    <t xml:space="preserve">out_of_stock</t>
  </si>
  <si>
    <t xml:space="preserve">active</t>
  </si>
  <si>
    <t xml:space="preserve">redirect_type</t>
  </si>
  <si>
    <t xml:space="preserve">id_type_redirected</t>
  </si>
  <si>
    <t xml:space="preserve">available_for_order</t>
  </si>
  <si>
    <t xml:space="preserve">condition</t>
  </si>
  <si>
    <t xml:space="preserve">show_price</t>
  </si>
  <si>
    <t xml:space="preserve">visibility</t>
  </si>
  <si>
    <t xml:space="preserve">advanced_stock_management</t>
  </si>
  <si>
    <t xml:space="preserve">pack_stock_type</t>
  </si>
  <si>
    <t xml:space="preserve">description</t>
  </si>
  <si>
    <t xml:space="preserve">description_short</t>
  </si>
  <si>
    <t xml:space="preserve">meta_description</t>
  </si>
  <si>
    <t xml:space="preserve">meta_keywords</t>
  </si>
  <si>
    <t xml:space="preserve">meta_title</t>
  </si>
  <si>
    <t xml:space="preserve">name</t>
  </si>
  <si>
    <t xml:space="preserve">product_type</t>
  </si>
  <si>
    <t xml:space="preserve">available_now</t>
  </si>
  <si>
    <t xml:space="preserve">available_later</t>
  </si>
  <si>
    <t xml:space="preserve">delivery_in_stock</t>
  </si>
  <si>
    <t xml:space="preserve">delivery_out_stock</t>
  </si>
  <si>
    <t xml:space="preserve">IMAGE</t>
  </si>
  <si>
    <t xml:space="preserve">VESTIBILITÀ</t>
  </si>
  <si>
    <t xml:space="preserve">CATEGORIES</t>
  </si>
  <si>
    <t xml:space="preserve">F:MODELLO MANICA</t>
  </si>
  <si>
    <t xml:space="preserve">F:FANTASIA TESSUTO</t>
  </si>
  <si>
    <t xml:space="preserve">A:TAGLIA</t>
  </si>
  <si>
    <t xml:space="preserve">A:COLORE</t>
  </si>
  <si>
    <t xml:space="preserve">67</t>
  </si>
  <si>
    <t xml:space="preserve">pz</t>
  </si>
  <si>
    <t xml:space="preserve">PRD-2025-0001-XYZ-789</t>
  </si>
  <si>
    <t xml:space="preserve">3.95</t>
  </si>
  <si>
    <t xml:space="preserve">82.55</t>
  </si>
  <si>
    <t xml:space="preserve">11.4</t>
  </si>
  <si>
    <t xml:space="preserve">55.65</t>
  </si>
  <si>
    <t xml:space="preserve">1</t>
  </si>
  <si>
    <t xml:space="preserve">new</t>
  </si>
  <si>
    <t xml:space="preserve">both</t>
  </si>
  <si>
    <t xml:space="preserve">0</t>
  </si>
  <si>
    <t xml:space="preserve">Prodotto versatile e affidabile per uso professionale. Realizzato con materiali di alta qualità, garantisce prestazioni ottimali e lunga durata. Ideale per applicazioni industriali e domestiche.</t>
  </si>
  <si>
    <t xml:space="preserve">1. Prodotto Generico XYZ 2025 - Modello 789</t>
  </si>
  <si>
    <t xml:space="preserve">combinations</t>
  </si>
  <si>
    <t xml:space="preserve"> https://picsum.photos/600/600?random=1| https://picsum.photos/600/600?random=1| https://picsum.photos/600/600?random=1</t>
  </si>
  <si>
    <t xml:space="preserve">Taglia regolabile</t>
  </si>
  <si>
    <t xml:space="preserve">Pantaloni|Giacche|Ristorazione</t>
  </si>
  <si>
    <t xml:space="preserve">LUNGA</t>
  </si>
  <si>
    <t xml:space="preserve">PIZZO</t>
  </si>
  <si>
    <t xml:space="preserve">XXL</t>
  </si>
  <si>
    <t xml:space="preserve">BIANCO</t>
  </si>
  <si>
    <t xml:space="preserve">69</t>
  </si>
  <si>
    <t xml:space="preserve">ART-BLACK-FRIDAY-24</t>
  </si>
  <si>
    <t xml:space="preserve">93.42</t>
  </si>
  <si>
    <t xml:space="preserve">38.52</t>
  </si>
  <si>
    <t xml:space="preserve">44.16</t>
  </si>
  <si>
    <t xml:space="preserve">27.17</t>
  </si>
  <si>
    <t xml:space="preserve">Edizione limitata in offerta speciale. Design accattivante e funzionalità essenziali per sfruttare al meglio le tue occasioni d'acquisto. Non perdere questa opportunità!</t>
  </si>
  <si>
    <t xml:space="preserve">2. Articolo Promozionale Black Friday 2024</t>
  </si>
  <si>
    <t xml:space="preserve"> https://picsum.photos/600/600?random=1 </t>
  </si>
  <si>
    <t xml:space="preserve">Scarpe|Lavoro</t>
  </si>
  <si>
    <t xml:space="preserve">CORTA</t>
  </si>
  <si>
    <t xml:space="preserve">L</t>
  </si>
  <si>
    <t xml:space="preserve">22</t>
  </si>
  <si>
    <t xml:space="preserve">WIDGET-PRO-MAX-2000</t>
  </si>
  <si>
    <t xml:space="preserve">53.75</t>
  </si>
  <si>
    <t xml:space="preserve">8.31</t>
  </si>
  <si>
    <t xml:space="preserve">52.25</t>
  </si>
  <si>
    <t xml:space="preserve">7.52</t>
  </si>
  <si>
    <t xml:space="preserve">Strumento professionale di ultima generazione con funzionalità avanzate. Display intuitivo, materiali resistenti e prestazioni superiori per risultati impeccabili in ogni situazione.</t>
  </si>
  <si>
    <t xml:space="preserve">3. Widget Professionale Max 2000</t>
  </si>
  <si>
    <t xml:space="preserve">16|38|171</t>
  </si>
  <si>
    <t xml:space="preserve">S</t>
  </si>
  <si>
    <t xml:space="preserve">ROSSO</t>
  </si>
  <si>
    <t xml:space="preserve">86</t>
  </si>
  <si>
    <t xml:space="preserve">ACC-98765-USB-C-BLK</t>
  </si>
  <si>
    <t xml:space="preserve">53.14</t>
  </si>
  <si>
    <t xml:space="preserve">26.69</t>
  </si>
  <si>
    <t xml:space="preserve">54.74</t>
  </si>
  <si>
    <t xml:space="preserve">84.71</t>
  </si>
  <si>
    <t xml:space="preserve">Cavo USB-C ad alta velocità con supporto ricarica rapida e trasferimento dati fino a 480Mbps. Lunghezza 2 metri, compatibile con tutti i dispositivi USB-C. Rivestimento intrecciato anti-rottura.</t>
  </si>
  <si>
    <t xml:space="preserve">4. Cavo USB-C universale nero 2m</t>
  </si>
  <si>
    <t xml:space="preserve"> https://picsum.photos/600/600?random=1| https://picsum.photos/600/600?random=1 </t>
  </si>
  <si>
    <t xml:space="preserve">Slim</t>
  </si>
  <si>
    <t xml:space="preserve">Pizzeria&gt;Giacche</t>
  </si>
  <si>
    <t xml:space="preserve">ASTRATTA</t>
  </si>
  <si>
    <t xml:space="preserve">XL</t>
  </si>
  <si>
    <t xml:space="preserve">75</t>
  </si>
  <si>
    <t xml:space="preserve">CABLE-TYPE-C-2M-RED</t>
  </si>
  <si>
    <t xml:space="preserve">99.33</t>
  </si>
  <si>
    <t xml:space="preserve">2.49</t>
  </si>
  <si>
    <t xml:space="preserve">3.86</t>
  </si>
  <si>
    <t xml:space="preserve">11.57</t>
  </si>
  <si>
    <t xml:space="preserve">Cavo resistente e flessibile con connettori placcati oro per miglior contatto. Supporta ricarica fino a 3A e sincronizzazione dati. Colore rosso brillante per distinguerlo facilmente.</t>
  </si>
  <si>
    <t xml:space="preserve">5. Cavo USB Type-C 2 metri - Rosso</t>
  </si>
  <si>
    <t xml:space="preserve">SENZA MANICA</t>
  </si>
  <si>
    <t xml:space="preserve">BATTERY-LI-ION-18650</t>
  </si>
  <si>
    <t xml:space="preserve">#B7#C5#D29A</t>
  </si>
  <si>
    <t xml:space="preserve">33.14</t>
  </si>
  <si>
    <t xml:space="preserve">61.29</t>
  </si>
  <si>
    <t xml:space="preserve">77.5</t>
  </si>
  <si>
    <t xml:space="preserve">85.29</t>
  </si>
  <si>
    <t xml:space="preserve">Batteria al litio ad alta capacità 3000mAh con protezione da sovrascarica e cortocircuito. Oltre 500 cicli di ricarica. Ideale per torce, power bank e dispositivi elettronici.</t>
  </si>
  <si>
    <t xml:space="preserve">6. Batteria Ricaricabile Li-Ion 18650 3000mAh</t>
  </si>
  <si>
    <t xml:space="preserve"> https://picsum.photos/600/600?random=1 | https://picsum.photos/600/600?random=1 </t>
  </si>
  <si>
    <t xml:space="preserve">Normal</t>
  </si>
  <si>
    <t xml:space="preserve">ROMBI</t>
  </si>
  <si>
    <t xml:space="preserve">M</t>
  </si>
  <si>
    <t xml:space="preserve">GIALLO</t>
  </si>
  <si>
    <t xml:space="preserve">65</t>
  </si>
  <si>
    <t xml:space="preserve">SCREEN-7INCH-IPS-HDMI</t>
  </si>
  <si>
    <t xml:space="preserve">34.37</t>
  </si>
  <si>
    <t xml:space="preserve">80.47</t>
  </si>
  <si>
    <t xml:space="preserve">52.16</t>
  </si>
  <si>
    <t xml:space="preserve">26.19</t>
  </si>
  <si>
    <t xml:space="preserve">refurbished</t>
  </si>
  <si>
    <t xml:space="preserve">Monitor LCD 7" con tecnologia IPS per angoli di visione fino a 178°. Risoluzione 1024x600, ingresso HDMI e alimentazione USB. Perfetto per Raspberry Pi, PC e sistemi embedded.</t>
  </si>
  <si>
    <t xml:space="preserve">7. Display LCD 7 pollici IPS HDMI</t>
  </si>
  <si>
    <t xml:space="preserve">24</t>
  </si>
  <si>
    <t xml:space="preserve">MOTOR-12V-DC-3000RPM</t>
  </si>
  <si>
    <t xml:space="preserve">30.28</t>
  </si>
  <si>
    <t xml:space="preserve">71.2</t>
  </si>
  <si>
    <t xml:space="preserve">68.94</t>
  </si>
  <si>
    <t xml:space="preserve">59.27</t>
  </si>
  <si>
    <t xml:space="preserve">Motore elettrico DC 12V con velocità di 3000 RPM e encoder integrato per controllo preciso di posizione e velocità. Ideale per robotica, CNC e automazione industriale.</t>
  </si>
  <si>
    <t xml:space="preserve">8. Motore DC 12V 3000 RPM con encoder</t>
  </si>
  <si>
    <t xml:space="preserve">44</t>
  </si>
  <si>
    <t xml:space="preserve">SENSOR-TEMP-HUM-DHT22</t>
  </si>
  <si>
    <t xml:space="preserve">24.36</t>
  </si>
  <si>
    <t xml:space="preserve">2.28</t>
  </si>
  <si>
    <t xml:space="preserve">41.93</t>
  </si>
  <si>
    <t xml:space="preserve">99.43</t>
  </si>
  <si>
    <t xml:space="preserve">Sensore digitale di temperatura e umidità con precisione ±0.5°C e ±2% RH. Interfaccia a singolo filo, campo di misura -40°C a 80°C. Perfetto per stazioni meteo e domotica.</t>
  </si>
  <si>
    <t xml:space="preserve">9. Sensore Temperatura e Umidità DHT22</t>
  </si>
  <si>
    <t xml:space="preserve">id_supplier</t>
  </si>
  <si>
    <t xml:space="preserve">id_manufacturer</t>
  </si>
  <si>
    <t xml:space="preserve">id_category_default</t>
  </si>
  <si>
    <t xml:space="preserve">id_shop_default</t>
  </si>
  <si>
    <t xml:space="preserve">id_tax_rules_group</t>
  </si>
  <si>
    <t xml:space="preserve">on_sale</t>
  </si>
  <si>
    <t xml:space="preserve">online_only</t>
  </si>
  <si>
    <t xml:space="preserve">isbn</t>
  </si>
  <si>
    <t xml:space="preserve">upc</t>
  </si>
  <si>
    <t xml:space="preserve">mpn</t>
  </si>
  <si>
    <t xml:space="preserve">ecotax</t>
  </si>
  <si>
    <t xml:space="preserve">unit_price_ratio</t>
  </si>
  <si>
    <t xml:space="preserve">additional_shipping_cost</t>
  </si>
  <si>
    <t xml:space="preserve">supplier_reference</t>
  </si>
  <si>
    <t xml:space="preserve">quantity_discount</t>
  </si>
  <si>
    <t xml:space="preserve">customizable</t>
  </si>
  <si>
    <t xml:space="preserve">uploadable_files</t>
  </si>
  <si>
    <t xml:space="preserve">text_fields</t>
  </si>
  <si>
    <t xml:space="preserve">available_date</t>
  </si>
  <si>
    <t xml:space="preserve">indexed</t>
  </si>
  <si>
    <t xml:space="preserve">cache_default_attribute</t>
  </si>
  <si>
    <t xml:space="preserve">date_add</t>
  </si>
  <si>
    <t xml:space="preserve">date_upd</t>
  </si>
  <si>
    <t xml:space="preserve">state</t>
  </si>
  <si>
    <t xml:space="preserve">additional_delivery_times</t>
  </si>
  <si>
    <t xml:space="preserve">id_shop_list</t>
  </si>
  <si>
    <t xml:space="preserve">link_rewrite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</si>
</sst>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0.58203125" defaultRowHeight="15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1" width="16.89"/>
    <col collapsed="false" customWidth="true" hidden="false" outlineLevel="0" max="3" min="3" style="1" width="8.21"/>
    <col collapsed="false" customWidth="true" hidden="false" outlineLevel="0" max="4" min="4" style="1" width="16.12"/>
    <col collapsed="false" customWidth="true" hidden="false" outlineLevel="0" max="5" min="5" style="1" width="18.41"/>
    <col collapsed="false" customWidth="true" hidden="false" outlineLevel="0" max="6" min="6" style="1" width="14.59"/>
    <col collapsed="false" customWidth="true" hidden="false" outlineLevel="0" max="7" min="7" style="1" width="6.03"/>
    <col collapsed="false" customWidth="true" hidden="false" outlineLevel="0" max="8" min="8" style="1" width="14.97"/>
    <col collapsed="false" customWidth="true" hidden="false" outlineLevel="0" max="9" min="9" style="1" width="9.37"/>
    <col collapsed="false" customWidth="true" hidden="false" outlineLevel="0" max="10" min="10" style="1" width="37.05"/>
    <col collapsed="false" customWidth="true" hidden="false" outlineLevel="0" max="11" min="11" style="1" width="72.78"/>
    <col collapsed="false" customWidth="true" hidden="false" outlineLevel="0" max="12" min="12" style="1" width="6.03"/>
    <col collapsed="false" customWidth="true" hidden="false" outlineLevel="0" max="13" min="13" style="1" width="6.67"/>
    <col collapsed="false" customWidth="true" hidden="false" outlineLevel="0" max="14" min="14" style="1" width="6.18"/>
    <col collapsed="false" customWidth="true" hidden="false" outlineLevel="0" max="15" min="15" style="1" width="7.06"/>
    <col collapsed="false" customWidth="true" hidden="false" outlineLevel="0" max="16" min="16" style="1" width="12.03"/>
    <col collapsed="false" customWidth="true" hidden="false" outlineLevel="0" max="17" min="17" style="1" width="6.42"/>
    <col collapsed="false" customWidth="true" hidden="false" outlineLevel="0" max="18" min="18" style="1" width="14.06"/>
    <col collapsed="false" customWidth="true" hidden="false" outlineLevel="0" max="20" min="19" style="1" width="18.03"/>
    <col collapsed="false" customWidth="true" hidden="false" outlineLevel="0" max="21" min="21" style="1" width="14.06"/>
    <col collapsed="false" customWidth="true" hidden="false" outlineLevel="0" max="22" min="22" style="1" width="10.87"/>
    <col collapsed="false" customWidth="true" hidden="false" outlineLevel="0" max="23" min="23" style="1" width="14.06"/>
    <col collapsed="false" customWidth="true" hidden="false" outlineLevel="0" max="24" min="24" style="1" width="26.71"/>
    <col collapsed="false" customWidth="true" hidden="false" outlineLevel="0" max="25" min="25" style="1" width="15.1"/>
    <col collapsed="false" customWidth="true" hidden="false" outlineLevel="0" max="27" min="27" style="1" width="166.84"/>
    <col collapsed="false" customWidth="true" hidden="false" outlineLevel="0" max="30" min="28" style="1" width="14.06"/>
    <col collapsed="false" customWidth="true" hidden="false" outlineLevel="0" max="31" min="31" style="1" width="40.88"/>
    <col collapsed="false" customWidth="true" hidden="false" outlineLevel="0" max="33" min="32" style="1" width="13.44"/>
    <col collapsed="false" customWidth="true" hidden="false" outlineLevel="0" max="34" min="34" style="1" width="13.95"/>
    <col collapsed="false" customWidth="true" hidden="false" outlineLevel="0" max="35" min="35" style="1" width="15.86"/>
    <col collapsed="false" customWidth="true" hidden="false" outlineLevel="0" max="36" min="36" style="1" width="17.01"/>
    <col collapsed="false" customWidth="true" hidden="false" outlineLevel="0" max="37" min="37" style="1" width="110.05"/>
    <col collapsed="false" customWidth="true" hidden="false" outlineLevel="0" max="38" min="38" style="1" width="15.48"/>
    <col collapsed="false" customWidth="true" hidden="false" outlineLevel="0" max="39" min="39" style="1" width="27.86"/>
    <col collapsed="false" customWidth="true" hidden="false" outlineLevel="0" max="40" min="40" style="1" width="19.05"/>
    <col collapsed="false" customWidth="true" hidden="false" outlineLevel="0" max="41" min="41" style="1" width="18.92"/>
    <col collapsed="false" customWidth="true" hidden="false" outlineLevel="0" max="42" min="42" style="1" width="9.1"/>
    <col collapsed="false" customWidth="true" hidden="false" outlineLevel="0" max="43" min="43" style="1" width="10.13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 customFormat="false" ht="15" hidden="false" customHeight="false" outlineLevel="0" collapsed="false">
      <c r="A2" s="0" t="n">
        <v>26895</v>
      </c>
      <c r="B2" s="3" t="n">
        <v>5901234123457</v>
      </c>
      <c r="C2" s="3" t="n">
        <f aca="true">D2+ROUND(RAND()*100,0)</f>
        <v>73</v>
      </c>
      <c r="D2" s="3" t="s">
        <v>43</v>
      </c>
      <c r="E2" s="3" t="n">
        <v>5</v>
      </c>
      <c r="F2" s="3" t="n">
        <v>1</v>
      </c>
      <c r="G2" s="3" t="n">
        <v>63.71</v>
      </c>
      <c r="H2" s="3" t="n">
        <f aca="false">G2/1.45</f>
        <v>43.9379310344828</v>
      </c>
      <c r="I2" s="3" t="s">
        <v>44</v>
      </c>
      <c r="J2" s="3" t="s">
        <v>45</v>
      </c>
      <c r="K2" s="3"/>
      <c r="L2" s="3" t="s">
        <v>46</v>
      </c>
      <c r="M2" s="3" t="s">
        <v>47</v>
      </c>
      <c r="N2" s="3" t="s">
        <v>48</v>
      </c>
      <c r="O2" s="3" t="s">
        <v>49</v>
      </c>
      <c r="P2" s="3" t="n">
        <v>2</v>
      </c>
      <c r="Q2" s="3" t="s">
        <v>50</v>
      </c>
      <c r="R2" s="3"/>
      <c r="S2" s="3"/>
      <c r="T2" s="3" t="s">
        <v>50</v>
      </c>
      <c r="U2" s="3" t="s">
        <v>51</v>
      </c>
      <c r="V2" s="3" t="s">
        <v>50</v>
      </c>
      <c r="W2" s="3" t="s">
        <v>52</v>
      </c>
      <c r="X2" s="3" t="s">
        <v>53</v>
      </c>
      <c r="Y2" s="3" t="n">
        <v>3</v>
      </c>
      <c r="AA2" s="3" t="s">
        <v>54</v>
      </c>
      <c r="AB2" s="3"/>
      <c r="AC2" s="3"/>
      <c r="AD2" s="3"/>
      <c r="AE2" s="3" t="s">
        <v>55</v>
      </c>
      <c r="AF2" s="3" t="s">
        <v>56</v>
      </c>
      <c r="AG2" s="3"/>
      <c r="AH2" s="3"/>
      <c r="AI2" s="3"/>
      <c r="AJ2" s="3"/>
      <c r="AK2" s="3" t="s">
        <v>57</v>
      </c>
      <c r="AL2" s="3" t="s">
        <v>58</v>
      </c>
      <c r="AM2" s="3" t="s">
        <v>59</v>
      </c>
      <c r="AN2" s="3" t="s">
        <v>60</v>
      </c>
      <c r="AO2" s="3" t="s">
        <v>61</v>
      </c>
      <c r="AP2" s="3" t="s">
        <v>62</v>
      </c>
      <c r="AQ2" s="3" t="s">
        <v>63</v>
      </c>
    </row>
    <row r="3" customFormat="false" ht="15" hidden="false" customHeight="false" outlineLevel="0" collapsed="false">
      <c r="A3" s="0" t="n">
        <v>45332</v>
      </c>
      <c r="B3" s="3" t="n">
        <v>4006381333931</v>
      </c>
      <c r="C3" s="3" t="n">
        <f aca="true">D3+ROUND(RAND()*100,0)</f>
        <v>107</v>
      </c>
      <c r="D3" s="3" t="s">
        <v>64</v>
      </c>
      <c r="E3" s="3" t="n">
        <v>10</v>
      </c>
      <c r="F3" s="3" t="n">
        <v>1</v>
      </c>
      <c r="G3" s="3" t="n">
        <v>11.73</v>
      </c>
      <c r="H3" s="3" t="n">
        <f aca="false">G3/1.45</f>
        <v>8.08965517241379</v>
      </c>
      <c r="I3" s="3" t="s">
        <v>44</v>
      </c>
      <c r="J3" s="3" t="s">
        <v>65</v>
      </c>
      <c r="K3" s="3"/>
      <c r="L3" s="3" t="s">
        <v>66</v>
      </c>
      <c r="M3" s="3" t="s">
        <v>67</v>
      </c>
      <c r="N3" s="3" t="s">
        <v>68</v>
      </c>
      <c r="O3" s="3" t="s">
        <v>69</v>
      </c>
      <c r="P3" s="3" t="n">
        <v>2</v>
      </c>
      <c r="Q3" s="3" t="s">
        <v>50</v>
      </c>
      <c r="R3" s="3"/>
      <c r="S3" s="3"/>
      <c r="T3" s="3" t="s">
        <v>50</v>
      </c>
      <c r="U3" s="3" t="s">
        <v>51</v>
      </c>
      <c r="V3" s="3" t="s">
        <v>50</v>
      </c>
      <c r="W3" s="3" t="s">
        <v>52</v>
      </c>
      <c r="X3" s="3" t="s">
        <v>50</v>
      </c>
      <c r="Y3" s="3" t="n">
        <v>3</v>
      </c>
      <c r="AA3" s="3" t="s">
        <v>70</v>
      </c>
      <c r="AB3" s="3"/>
      <c r="AC3" s="3"/>
      <c r="AD3" s="3"/>
      <c r="AE3" s="3" t="s">
        <v>71</v>
      </c>
      <c r="AF3" s="3"/>
      <c r="AG3" s="3"/>
      <c r="AH3" s="3"/>
      <c r="AI3" s="3"/>
      <c r="AJ3" s="3"/>
      <c r="AK3" s="3" t="s">
        <v>72</v>
      </c>
      <c r="AM3" s="3" t="s">
        <v>73</v>
      </c>
      <c r="AN3" s="3" t="s">
        <v>74</v>
      </c>
      <c r="AP3" s="3" t="s">
        <v>75</v>
      </c>
      <c r="AQ3" s="3" t="s">
        <v>63</v>
      </c>
    </row>
    <row r="4" customFormat="false" ht="15" hidden="false" customHeight="false" outlineLevel="0" collapsed="false">
      <c r="A4" s="0" t="n">
        <v>10231</v>
      </c>
      <c r="B4" s="3" t="n">
        <v>9780201379624</v>
      </c>
      <c r="C4" s="3" t="n">
        <f aca="true">D4+ROUND(RAND()*100,0)</f>
        <v>46</v>
      </c>
      <c r="D4" s="3" t="s">
        <v>76</v>
      </c>
      <c r="E4" s="3" t="n">
        <v>2</v>
      </c>
      <c r="F4" s="3" t="n">
        <v>1</v>
      </c>
      <c r="G4" s="3" t="n">
        <v>10.43</v>
      </c>
      <c r="H4" s="3" t="n">
        <f aca="false">G4/1.45</f>
        <v>7.19310344827586</v>
      </c>
      <c r="I4" s="3" t="s">
        <v>44</v>
      </c>
      <c r="J4" s="3" t="s">
        <v>77</v>
      </c>
      <c r="K4" s="3"/>
      <c r="L4" s="3" t="s">
        <v>78</v>
      </c>
      <c r="M4" s="3" t="s">
        <v>79</v>
      </c>
      <c r="N4" s="3" t="s">
        <v>80</v>
      </c>
      <c r="O4" s="3" t="s">
        <v>81</v>
      </c>
      <c r="P4" s="3" t="n">
        <v>2</v>
      </c>
      <c r="Q4" s="3" t="s">
        <v>50</v>
      </c>
      <c r="R4" s="3"/>
      <c r="S4" s="3"/>
      <c r="T4" s="3" t="s">
        <v>50</v>
      </c>
      <c r="U4" s="3" t="s">
        <v>51</v>
      </c>
      <c r="V4" s="3" t="s">
        <v>53</v>
      </c>
      <c r="W4" s="3" t="s">
        <v>52</v>
      </c>
      <c r="X4" s="3" t="s">
        <v>50</v>
      </c>
      <c r="Y4" s="3" t="n">
        <v>3</v>
      </c>
      <c r="AA4" s="3" t="s">
        <v>82</v>
      </c>
      <c r="AB4" s="3"/>
      <c r="AC4" s="3"/>
      <c r="AD4" s="3"/>
      <c r="AE4" s="3" t="s">
        <v>83</v>
      </c>
      <c r="AF4" s="3" t="s">
        <v>56</v>
      </c>
      <c r="AG4" s="3"/>
      <c r="AH4" s="3"/>
      <c r="AI4" s="3"/>
      <c r="AJ4" s="3"/>
      <c r="AK4" s="3" t="s">
        <v>72</v>
      </c>
      <c r="AM4" s="3" t="s">
        <v>84</v>
      </c>
      <c r="AP4" s="3" t="s">
        <v>85</v>
      </c>
      <c r="AQ4" s="3" t="s">
        <v>86</v>
      </c>
    </row>
    <row r="5" customFormat="false" ht="15" hidden="false" customHeight="false" outlineLevel="0" collapsed="false">
      <c r="A5" s="0" t="n">
        <v>560</v>
      </c>
      <c r="B5" s="3" t="n">
        <v>1234567890128</v>
      </c>
      <c r="C5" s="3" t="n">
        <f aca="true">D5+ROUND(RAND()*100,0)</f>
        <v>136</v>
      </c>
      <c r="D5" s="3" t="s">
        <v>87</v>
      </c>
      <c r="E5" s="3" t="n">
        <v>15</v>
      </c>
      <c r="F5" s="3" t="n">
        <v>1</v>
      </c>
      <c r="G5" s="3" t="n">
        <v>95.44</v>
      </c>
      <c r="H5" s="3" t="n">
        <f aca="false">G5/1.45</f>
        <v>65.8206896551724</v>
      </c>
      <c r="I5" s="3" t="s">
        <v>44</v>
      </c>
      <c r="J5" s="3" t="s">
        <v>88</v>
      </c>
      <c r="K5" s="3"/>
      <c r="L5" s="3" t="s">
        <v>89</v>
      </c>
      <c r="M5" s="3" t="s">
        <v>90</v>
      </c>
      <c r="N5" s="3" t="s">
        <v>91</v>
      </c>
      <c r="O5" s="3" t="s">
        <v>92</v>
      </c>
      <c r="P5" s="3" t="n">
        <v>2</v>
      </c>
      <c r="Q5" s="3" t="s">
        <v>53</v>
      </c>
      <c r="R5" s="3"/>
      <c r="S5" s="3"/>
      <c r="T5" s="3" t="s">
        <v>50</v>
      </c>
      <c r="U5" s="3" t="s">
        <v>51</v>
      </c>
      <c r="V5" s="3" t="s">
        <v>50</v>
      </c>
      <c r="W5" s="3" t="s">
        <v>52</v>
      </c>
      <c r="X5" s="3" t="s">
        <v>53</v>
      </c>
      <c r="Y5" s="3" t="n">
        <v>3</v>
      </c>
      <c r="AA5" s="3" t="s">
        <v>93</v>
      </c>
      <c r="AB5" s="3"/>
      <c r="AC5" s="3"/>
      <c r="AD5" s="3"/>
      <c r="AE5" s="3" t="s">
        <v>94</v>
      </c>
      <c r="AF5" s="3"/>
      <c r="AG5" s="3"/>
      <c r="AH5" s="3"/>
      <c r="AI5" s="3"/>
      <c r="AJ5" s="3"/>
      <c r="AK5" s="3" t="s">
        <v>95</v>
      </c>
      <c r="AL5" s="3" t="s">
        <v>96</v>
      </c>
      <c r="AM5" s="3" t="s">
        <v>97</v>
      </c>
      <c r="AN5" s="3" t="s">
        <v>74</v>
      </c>
      <c r="AO5" s="3" t="s">
        <v>98</v>
      </c>
      <c r="AP5" s="3" t="s">
        <v>99</v>
      </c>
    </row>
    <row r="6" customFormat="false" ht="15" hidden="false" customHeight="false" outlineLevel="0" collapsed="false">
      <c r="A6" s="0" t="n">
        <v>8861</v>
      </c>
      <c r="B6" s="3" t="n">
        <v>4012345678901</v>
      </c>
      <c r="C6" s="3" t="n">
        <f aca="true">D6+ROUND(RAND()*100,0)</f>
        <v>129</v>
      </c>
      <c r="D6" s="3" t="s">
        <v>100</v>
      </c>
      <c r="E6" s="3" t="n">
        <v>8</v>
      </c>
      <c r="F6" s="3" t="n">
        <v>1</v>
      </c>
      <c r="G6" s="3" t="n">
        <v>83.26</v>
      </c>
      <c r="H6" s="3" t="n">
        <f aca="false">G6/1.45</f>
        <v>57.4206896551724</v>
      </c>
      <c r="I6" s="3" t="s">
        <v>44</v>
      </c>
      <c r="J6" s="3" t="s">
        <v>101</v>
      </c>
      <c r="K6" s="3"/>
      <c r="L6" s="3" t="s">
        <v>102</v>
      </c>
      <c r="M6" s="3" t="s">
        <v>103</v>
      </c>
      <c r="N6" s="3" t="s">
        <v>104</v>
      </c>
      <c r="O6" s="3" t="s">
        <v>105</v>
      </c>
      <c r="P6" s="3" t="n">
        <v>2</v>
      </c>
      <c r="Q6" s="3" t="s">
        <v>50</v>
      </c>
      <c r="R6" s="3"/>
      <c r="S6" s="3"/>
      <c r="T6" s="3" t="s">
        <v>53</v>
      </c>
      <c r="U6" s="3" t="s">
        <v>51</v>
      </c>
      <c r="V6" s="3" t="s">
        <v>53</v>
      </c>
      <c r="W6" s="3" t="s">
        <v>52</v>
      </c>
      <c r="X6" s="3" t="s">
        <v>53</v>
      </c>
      <c r="Y6" s="3" t="n">
        <v>3</v>
      </c>
      <c r="AA6" s="3" t="s">
        <v>106</v>
      </c>
      <c r="AB6" s="3"/>
      <c r="AC6" s="3"/>
      <c r="AD6" s="3"/>
      <c r="AE6" s="3" t="s">
        <v>107</v>
      </c>
      <c r="AF6" s="3"/>
      <c r="AG6" s="3"/>
      <c r="AH6" s="3"/>
      <c r="AI6" s="3"/>
      <c r="AJ6" s="3"/>
      <c r="AN6" s="3" t="s">
        <v>108</v>
      </c>
      <c r="AP6" s="3" t="s">
        <v>75</v>
      </c>
    </row>
    <row r="7" customFormat="false" ht="15" hidden="false" customHeight="false" outlineLevel="0" collapsed="false">
      <c r="A7" s="0" t="n">
        <v>13625</v>
      </c>
      <c r="B7" s="3" t="n">
        <v>8001505012387</v>
      </c>
      <c r="C7" s="3" t="n">
        <f aca="true">D7+ROUND(RAND()*100,0)</f>
        <v>150</v>
      </c>
      <c r="D7" s="3" t="s">
        <v>100</v>
      </c>
      <c r="E7" s="3" t="n">
        <v>3</v>
      </c>
      <c r="F7" s="3" t="n">
        <v>1</v>
      </c>
      <c r="G7" s="3" t="n">
        <v>2.5</v>
      </c>
      <c r="H7" s="3" t="n">
        <f aca="false">G7/1.45</f>
        <v>1.72413793103448</v>
      </c>
      <c r="I7" s="3" t="s">
        <v>44</v>
      </c>
      <c r="J7" s="3" t="s">
        <v>109</v>
      </c>
      <c r="K7" s="3" t="s">
        <v>110</v>
      </c>
      <c r="L7" s="3" t="s">
        <v>111</v>
      </c>
      <c r="M7" s="3" t="s">
        <v>112</v>
      </c>
      <c r="N7" s="3" t="s">
        <v>113</v>
      </c>
      <c r="O7" s="3" t="s">
        <v>114</v>
      </c>
      <c r="P7" s="3" t="n">
        <v>2</v>
      </c>
      <c r="Q7" s="3" t="s">
        <v>50</v>
      </c>
      <c r="R7" s="3"/>
      <c r="S7" s="3"/>
      <c r="T7" s="3" t="s">
        <v>53</v>
      </c>
      <c r="U7" s="3" t="s">
        <v>51</v>
      </c>
      <c r="V7" s="3" t="s">
        <v>50</v>
      </c>
      <c r="W7" s="3" t="s">
        <v>52</v>
      </c>
      <c r="X7" s="3" t="s">
        <v>50</v>
      </c>
      <c r="Y7" s="3" t="n">
        <v>3</v>
      </c>
      <c r="AA7" s="3" t="s">
        <v>115</v>
      </c>
      <c r="AB7" s="3"/>
      <c r="AC7" s="3"/>
      <c r="AD7" s="3"/>
      <c r="AE7" s="3" t="s">
        <v>116</v>
      </c>
      <c r="AF7" s="3"/>
      <c r="AG7" s="3"/>
      <c r="AH7" s="3"/>
      <c r="AI7" s="3"/>
      <c r="AJ7" s="3"/>
      <c r="AK7" s="3" t="s">
        <v>117</v>
      </c>
      <c r="AL7" s="3" t="s">
        <v>118</v>
      </c>
      <c r="AO7" s="3" t="s">
        <v>119</v>
      </c>
      <c r="AP7" s="3" t="s">
        <v>120</v>
      </c>
      <c r="AQ7" s="3" t="s">
        <v>121</v>
      </c>
    </row>
    <row r="8" customFormat="false" ht="15" hidden="false" customHeight="false" outlineLevel="0" collapsed="false">
      <c r="A8" s="0" t="n">
        <v>56123</v>
      </c>
      <c r="B8" s="3" t="n">
        <v>5901234567890</v>
      </c>
      <c r="C8" s="3" t="n">
        <f aca="true">D8+ROUND(RAND()*100,0)</f>
        <v>134</v>
      </c>
      <c r="D8" s="3" t="s">
        <v>122</v>
      </c>
      <c r="E8" s="3" t="n">
        <v>20</v>
      </c>
      <c r="F8" s="3" t="n">
        <v>1</v>
      </c>
      <c r="G8" s="3" t="n">
        <v>23.42</v>
      </c>
      <c r="H8" s="3" t="n">
        <f aca="false">G8/1.45</f>
        <v>16.151724137931</v>
      </c>
      <c r="I8" s="3" t="s">
        <v>44</v>
      </c>
      <c r="J8" s="3" t="s">
        <v>123</v>
      </c>
      <c r="K8" s="3"/>
      <c r="L8" s="3" t="s">
        <v>124</v>
      </c>
      <c r="M8" s="3" t="s">
        <v>125</v>
      </c>
      <c r="N8" s="3" t="s">
        <v>126</v>
      </c>
      <c r="O8" s="3" t="s">
        <v>127</v>
      </c>
      <c r="P8" s="3" t="n">
        <v>2</v>
      </c>
      <c r="Q8" s="3" t="s">
        <v>50</v>
      </c>
      <c r="R8" s="3"/>
      <c r="S8" s="3"/>
      <c r="T8" s="3" t="s">
        <v>50</v>
      </c>
      <c r="U8" s="3" t="s">
        <v>128</v>
      </c>
      <c r="V8" s="3" t="s">
        <v>50</v>
      </c>
      <c r="W8" s="3" t="s">
        <v>52</v>
      </c>
      <c r="X8" s="3" t="s">
        <v>50</v>
      </c>
      <c r="Y8" s="3" t="n">
        <v>3</v>
      </c>
      <c r="AA8" s="3" t="s">
        <v>129</v>
      </c>
      <c r="AB8" s="3"/>
      <c r="AC8" s="3"/>
      <c r="AD8" s="3"/>
      <c r="AE8" s="3" t="s">
        <v>130</v>
      </c>
      <c r="AF8" s="3"/>
      <c r="AG8" s="3"/>
      <c r="AH8" s="3"/>
      <c r="AI8" s="3"/>
      <c r="AJ8" s="3"/>
    </row>
    <row r="9" customFormat="false" ht="15" hidden="false" customHeight="false" outlineLevel="0" collapsed="false">
      <c r="A9" s="0" t="n">
        <v>450</v>
      </c>
      <c r="B9" s="3" t="n">
        <v>1234567890123</v>
      </c>
      <c r="C9" s="3" t="n">
        <f aca="true">D9+ROUND(RAND()*100,0)</f>
        <v>90</v>
      </c>
      <c r="D9" s="3" t="s">
        <v>131</v>
      </c>
      <c r="E9" s="3" t="n">
        <v>12</v>
      </c>
      <c r="F9" s="3" t="n">
        <v>1</v>
      </c>
      <c r="G9" s="3" t="n">
        <v>84.76</v>
      </c>
      <c r="H9" s="3" t="n">
        <f aca="false">G9/1.45</f>
        <v>58.4551724137931</v>
      </c>
      <c r="I9" s="3" t="s">
        <v>44</v>
      </c>
      <c r="J9" s="3" t="s">
        <v>132</v>
      </c>
      <c r="K9" s="3"/>
      <c r="L9" s="3" t="s">
        <v>133</v>
      </c>
      <c r="M9" s="3" t="s">
        <v>134</v>
      </c>
      <c r="N9" s="3" t="s">
        <v>135</v>
      </c>
      <c r="O9" s="3" t="s">
        <v>136</v>
      </c>
      <c r="P9" s="3" t="n">
        <v>2</v>
      </c>
      <c r="Q9" s="3" t="s">
        <v>50</v>
      </c>
      <c r="R9" s="3"/>
      <c r="S9" s="3"/>
      <c r="T9" s="3" t="s">
        <v>50</v>
      </c>
      <c r="U9" s="3" t="s">
        <v>51</v>
      </c>
      <c r="V9" s="3" t="s">
        <v>53</v>
      </c>
      <c r="W9" s="3" t="s">
        <v>52</v>
      </c>
      <c r="X9" s="3" t="s">
        <v>53</v>
      </c>
      <c r="Y9" s="3" t="n">
        <v>3</v>
      </c>
      <c r="AA9" s="3" t="s">
        <v>137</v>
      </c>
      <c r="AB9" s="3"/>
      <c r="AC9" s="3"/>
      <c r="AD9" s="3"/>
      <c r="AE9" s="3" t="s">
        <v>138</v>
      </c>
      <c r="AF9" s="3" t="s">
        <v>56</v>
      </c>
      <c r="AG9" s="3"/>
      <c r="AH9" s="3"/>
      <c r="AI9" s="3"/>
      <c r="AJ9" s="3"/>
    </row>
    <row r="10" customFormat="false" ht="15" hidden="false" customHeight="false" outlineLevel="0" collapsed="false">
      <c r="A10" s="0" t="n">
        <v>1973</v>
      </c>
      <c r="B10" s="3" t="n">
        <v>4012345123456</v>
      </c>
      <c r="C10" s="3" t="n">
        <f aca="true">D10+ROUND(RAND()*100,0)</f>
        <v>48</v>
      </c>
      <c r="D10" s="3" t="s">
        <v>139</v>
      </c>
      <c r="E10" s="3" t="n">
        <v>6</v>
      </c>
      <c r="F10" s="3" t="n">
        <v>1</v>
      </c>
      <c r="G10" s="3" t="n">
        <v>85.59</v>
      </c>
      <c r="H10" s="3" t="n">
        <f aca="false">G10/1.45</f>
        <v>59.0275862068966</v>
      </c>
      <c r="I10" s="3" t="s">
        <v>44</v>
      </c>
      <c r="J10" s="3" t="s">
        <v>140</v>
      </c>
      <c r="K10" s="3"/>
      <c r="L10" s="3" t="s">
        <v>141</v>
      </c>
      <c r="M10" s="3" t="s">
        <v>142</v>
      </c>
      <c r="N10" s="3" t="s">
        <v>143</v>
      </c>
      <c r="O10" s="3" t="s">
        <v>144</v>
      </c>
      <c r="P10" s="3" t="n">
        <v>2</v>
      </c>
      <c r="Q10" s="3" t="s">
        <v>50</v>
      </c>
      <c r="R10" s="3"/>
      <c r="S10" s="3"/>
      <c r="T10" s="3" t="s">
        <v>50</v>
      </c>
      <c r="U10" s="3" t="s">
        <v>51</v>
      </c>
      <c r="V10" s="3" t="s">
        <v>50</v>
      </c>
      <c r="W10" s="3" t="s">
        <v>52</v>
      </c>
      <c r="X10" s="3" t="s">
        <v>53</v>
      </c>
      <c r="Y10" s="3" t="n">
        <v>3</v>
      </c>
      <c r="AA10" s="3" t="s">
        <v>145</v>
      </c>
      <c r="AB10" s="3"/>
      <c r="AC10" s="3"/>
      <c r="AD10" s="3"/>
      <c r="AE10" s="3" t="s">
        <v>146</v>
      </c>
      <c r="AF10" s="3" t="s">
        <v>56</v>
      </c>
      <c r="AG10" s="3"/>
      <c r="AH10" s="3"/>
      <c r="AI10" s="3"/>
      <c r="AJ1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3" t="s">
        <v>0</v>
      </c>
    </row>
    <row r="2" customFormat="false" ht="15" hidden="false" customHeight="false" outlineLevel="0" collapsed="false">
      <c r="A2" s="3" t="s">
        <v>147</v>
      </c>
    </row>
    <row r="3" customFormat="false" ht="15" hidden="false" customHeight="false" outlineLevel="0" collapsed="false">
      <c r="A3" s="3" t="s">
        <v>148</v>
      </c>
    </row>
    <row r="4" customFormat="false" ht="15" hidden="false" customHeight="false" outlineLevel="0" collapsed="false">
      <c r="A4" s="3" t="s">
        <v>149</v>
      </c>
    </row>
    <row r="5" customFormat="false" ht="15" hidden="false" customHeight="false" outlineLevel="0" collapsed="false">
      <c r="A5" s="3" t="s">
        <v>150</v>
      </c>
    </row>
    <row r="6" customFormat="false" ht="15" hidden="false" customHeight="false" outlineLevel="0" collapsed="false">
      <c r="A6" s="3" t="s">
        <v>151</v>
      </c>
    </row>
    <row r="7" customFormat="false" ht="15" hidden="false" customHeight="false" outlineLevel="0" collapsed="false">
      <c r="A7" s="3" t="s">
        <v>152</v>
      </c>
    </row>
    <row r="8" customFormat="false" ht="15" hidden="false" customHeight="false" outlineLevel="0" collapsed="false">
      <c r="A8" s="3" t="s">
        <v>153</v>
      </c>
    </row>
    <row r="9" customFormat="false" ht="15" hidden="false" customHeight="false" outlineLevel="0" collapsed="false">
      <c r="A9" s="3" t="s">
        <v>1</v>
      </c>
    </row>
    <row r="10" customFormat="false" ht="15" hidden="false" customHeight="false" outlineLevel="0" collapsed="false">
      <c r="A10" s="3" t="s">
        <v>154</v>
      </c>
    </row>
    <row r="11" customFormat="false" ht="15" hidden="false" customHeight="false" outlineLevel="0" collapsed="false">
      <c r="A11" s="3" t="s">
        <v>155</v>
      </c>
    </row>
    <row r="12" customFormat="false" ht="15" hidden="false" customHeight="false" outlineLevel="0" collapsed="false">
      <c r="A12" s="3" t="s">
        <v>156</v>
      </c>
    </row>
    <row r="13" customFormat="false" ht="15" hidden="false" customHeight="false" outlineLevel="0" collapsed="false">
      <c r="A13" s="3" t="s">
        <v>157</v>
      </c>
    </row>
    <row r="14" customFormat="false" ht="15" hidden="false" customHeight="false" outlineLevel="0" collapsed="false">
      <c r="A14" s="3" t="s">
        <v>2</v>
      </c>
    </row>
    <row r="15" customFormat="false" ht="15" hidden="false" customHeight="false" outlineLevel="0" collapsed="false">
      <c r="A15" s="3" t="s">
        <v>3</v>
      </c>
    </row>
    <row r="16" customFormat="false" ht="15" hidden="false" customHeight="false" outlineLevel="0" collapsed="false">
      <c r="A16" s="3" t="s">
        <v>6</v>
      </c>
    </row>
    <row r="17" customFormat="false" ht="15" hidden="false" customHeight="false" outlineLevel="0" collapsed="false">
      <c r="A17" s="3" t="s">
        <v>7</v>
      </c>
    </row>
    <row r="18" customFormat="false" ht="15" hidden="false" customHeight="false" outlineLevel="0" collapsed="false">
      <c r="A18" s="3" t="s">
        <v>8</v>
      </c>
    </row>
    <row r="19" customFormat="false" ht="15" hidden="false" customHeight="false" outlineLevel="0" collapsed="false">
      <c r="A19" s="3" t="s">
        <v>158</v>
      </c>
    </row>
    <row r="20" customFormat="false" ht="15" hidden="false" customHeight="false" outlineLevel="0" collapsed="false">
      <c r="A20" s="3" t="s">
        <v>159</v>
      </c>
    </row>
    <row r="21" customFormat="false" ht="15" hidden="false" customHeight="false" outlineLevel="0" collapsed="false">
      <c r="A21" s="3" t="s">
        <v>9</v>
      </c>
    </row>
    <row r="22" customFormat="false" ht="15" hidden="false" customHeight="false" outlineLevel="0" collapsed="false">
      <c r="A22" s="3" t="s">
        <v>160</v>
      </c>
    </row>
    <row r="23" customFormat="false" ht="15" hidden="false" customHeight="false" outlineLevel="0" collapsed="false">
      <c r="A23" s="3" t="s">
        <v>10</v>
      </c>
    </row>
    <row r="24" customFormat="false" ht="15" hidden="false" customHeight="false" outlineLevel="0" collapsed="false">
      <c r="A24" s="3" t="s">
        <v>11</v>
      </c>
    </row>
    <row r="25" customFormat="false" ht="15" hidden="false" customHeight="false" outlineLevel="0" collapsed="false">
      <c r="A25" s="3" t="s">
        <v>12</v>
      </c>
    </row>
    <row r="26" customFormat="false" ht="15" hidden="false" customHeight="false" outlineLevel="0" collapsed="false">
      <c r="A26" s="3" t="s">
        <v>13</v>
      </c>
    </row>
    <row r="27" customFormat="false" ht="15" hidden="false" customHeight="false" outlineLevel="0" collapsed="false">
      <c r="A27" s="3" t="s">
        <v>14</v>
      </c>
    </row>
    <row r="28" customFormat="false" ht="15" hidden="false" customHeight="false" outlineLevel="0" collapsed="false">
      <c r="A28" s="3" t="s">
        <v>15</v>
      </c>
    </row>
    <row r="29" customFormat="false" ht="15" hidden="false" customHeight="false" outlineLevel="0" collapsed="false">
      <c r="A29" s="3" t="s">
        <v>161</v>
      </c>
    </row>
    <row r="30" customFormat="false" ht="15" hidden="false" customHeight="false" outlineLevel="0" collapsed="false">
      <c r="A30" s="3" t="s">
        <v>162</v>
      </c>
    </row>
    <row r="31" customFormat="false" ht="15" hidden="false" customHeight="false" outlineLevel="0" collapsed="false">
      <c r="A31" s="3" t="s">
        <v>163</v>
      </c>
    </row>
    <row r="32" customFormat="false" ht="15" hidden="false" customHeight="false" outlineLevel="0" collapsed="false">
      <c r="A32" s="3" t="s">
        <v>164</v>
      </c>
    </row>
    <row r="33" customFormat="false" ht="15" hidden="false" customHeight="false" outlineLevel="0" collapsed="false">
      <c r="A33" s="3" t="s">
        <v>16</v>
      </c>
    </row>
    <row r="34" customFormat="false" ht="15" hidden="false" customHeight="false" outlineLevel="0" collapsed="false">
      <c r="A34" s="3" t="s">
        <v>17</v>
      </c>
    </row>
    <row r="35" customFormat="false" ht="15" hidden="false" customHeight="false" outlineLevel="0" collapsed="false">
      <c r="A35" s="3" t="s">
        <v>19</v>
      </c>
    </row>
    <row r="36" customFormat="false" ht="15" hidden="false" customHeight="false" outlineLevel="0" collapsed="false">
      <c r="A36" s="3" t="s">
        <v>165</v>
      </c>
    </row>
    <row r="37" customFormat="false" ht="15" hidden="false" customHeight="false" outlineLevel="0" collapsed="false">
      <c r="A37" s="3" t="s">
        <v>20</v>
      </c>
    </row>
    <row r="38" customFormat="false" ht="15" hidden="false" customHeight="false" outlineLevel="0" collapsed="false">
      <c r="A38" s="3" t="s">
        <v>21</v>
      </c>
    </row>
    <row r="39" customFormat="false" ht="15" hidden="false" customHeight="false" outlineLevel="0" collapsed="false">
      <c r="A39" s="3" t="s">
        <v>166</v>
      </c>
    </row>
    <row r="40" customFormat="false" ht="15" hidden="false" customHeight="false" outlineLevel="0" collapsed="false">
      <c r="A40" s="3" t="s">
        <v>22</v>
      </c>
    </row>
    <row r="41" customFormat="false" ht="15" hidden="false" customHeight="false" outlineLevel="0" collapsed="false">
      <c r="A41" s="3" t="s">
        <v>167</v>
      </c>
    </row>
    <row r="42" customFormat="false" ht="15" hidden="false" customHeight="false" outlineLevel="0" collapsed="false">
      <c r="A42" s="3" t="s">
        <v>23</v>
      </c>
    </row>
    <row r="43" customFormat="false" ht="15" hidden="false" customHeight="false" outlineLevel="0" collapsed="false">
      <c r="A43" s="3" t="s">
        <v>168</v>
      </c>
    </row>
    <row r="44" customFormat="false" ht="15" hidden="false" customHeight="false" outlineLevel="0" collapsed="false">
      <c r="A44" s="3" t="s">
        <v>169</v>
      </c>
    </row>
    <row r="45" customFormat="false" ht="15" hidden="false" customHeight="false" outlineLevel="0" collapsed="false">
      <c r="A45" s="3" t="s">
        <v>24</v>
      </c>
    </row>
    <row r="46" customFormat="false" ht="15" hidden="false" customHeight="false" outlineLevel="0" collapsed="false">
      <c r="A46" s="3" t="s">
        <v>170</v>
      </c>
    </row>
    <row r="47" customFormat="false" ht="15" hidden="false" customHeight="false" outlineLevel="0" collapsed="false">
      <c r="A47" s="3" t="s">
        <v>171</v>
      </c>
    </row>
    <row r="48" customFormat="false" ht="15" hidden="false" customHeight="false" outlineLevel="0" collapsed="false">
      <c r="A48" s="3" t="s">
        <v>172</v>
      </c>
    </row>
    <row r="49" customFormat="false" ht="15" hidden="false" customHeight="false" outlineLevel="0" collapsed="false">
      <c r="A49" s="3" t="s">
        <v>25</v>
      </c>
    </row>
    <row r="50" customFormat="false" ht="15" hidden="false" customHeight="false" outlineLevel="0" collapsed="false">
      <c r="A50" s="3" t="s">
        <v>26</v>
      </c>
    </row>
    <row r="51" customFormat="false" ht="15" hidden="false" customHeight="false" outlineLevel="0" collapsed="false">
      <c r="A51" s="3" t="s">
        <v>173</v>
      </c>
    </row>
    <row r="52" customFormat="false" ht="15" hidden="false" customHeight="false" outlineLevel="0" collapsed="false">
      <c r="A52" s="3" t="s">
        <v>27</v>
      </c>
    </row>
    <row r="53" customFormat="false" ht="15" hidden="false" customHeight="false" outlineLevel="0" collapsed="false">
      <c r="A53" s="3" t="s">
        <v>28</v>
      </c>
    </row>
    <row r="54" customFormat="false" ht="15" hidden="false" customHeight="false" outlineLevel="0" collapsed="false">
      <c r="A54" s="3" t="s">
        <v>29</v>
      </c>
    </row>
    <row r="55" customFormat="false" ht="15" hidden="false" customHeight="false" outlineLevel="0" collapsed="false">
      <c r="A55" s="3" t="s">
        <v>30</v>
      </c>
    </row>
    <row r="56" customFormat="false" ht="15" hidden="false" customHeight="false" outlineLevel="0" collapsed="false">
      <c r="A56" s="3" t="s">
        <v>32</v>
      </c>
    </row>
    <row r="57" customFormat="false" ht="15" hidden="false" customHeight="false" outlineLevel="0" collapsed="false">
      <c r="A57" s="3" t="s">
        <v>33</v>
      </c>
    </row>
    <row r="58" customFormat="false" ht="15" hidden="false" customHeight="false" outlineLevel="0" collapsed="false">
      <c r="A58" s="3" t="s">
        <v>34</v>
      </c>
    </row>
    <row r="59" customFormat="false" ht="15" hidden="false" customHeight="false" outlineLevel="0" collapsed="false">
      <c r="A59" s="3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2026-03-16T15:55:56Z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